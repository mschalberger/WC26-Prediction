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-\Nextcloud\Documents\Sonstiges\Tippspiel\"/>
    </mc:Choice>
  </mc:AlternateContent>
  <xr:revisionPtr revIDLastSave="0" documentId="13_ncr:1_{863D1AA9-FABD-4BB8-9941-3BAF5C986A6A}" xr6:coauthVersionLast="47" xr6:coauthVersionMax="47" xr10:uidLastSave="{00000000-0000-0000-0000-000000000000}"/>
  <bookViews>
    <workbookView xWindow="-120" yWindow="-120" windowWidth="29040" windowHeight="15840" xr2:uid="{FE5966CD-656A-4B54-80EE-BE3EA2D59A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3" i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P4" i="1" s="1"/>
  <c r="O3" i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D3" i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" i="1"/>
  <c r="O53" i="1" l="1"/>
  <c r="P3" i="1"/>
  <c r="M3" i="1"/>
  <c r="L53" i="1"/>
  <c r="I53" i="1"/>
  <c r="J3" i="1"/>
  <c r="F53" i="1"/>
  <c r="G3" i="1"/>
  <c r="C53" i="1"/>
  <c r="D6" i="1" l="1"/>
  <c r="D8" i="1"/>
  <c r="D10" i="1"/>
  <c r="D12" i="1"/>
  <c r="D17" i="1"/>
  <c r="D20" i="1"/>
  <c r="D23" i="1"/>
  <c r="D27" i="1"/>
  <c r="D29" i="1"/>
  <c r="D31" i="1"/>
  <c r="D34" i="1"/>
  <c r="D37" i="1"/>
  <c r="D38" i="1"/>
  <c r="D42" i="1"/>
  <c r="D46" i="1"/>
  <c r="D49" i="1"/>
  <c r="D50" i="1"/>
  <c r="D5" i="1"/>
  <c r="D7" i="1"/>
  <c r="D11" i="1"/>
  <c r="D14" i="1"/>
  <c r="D16" i="1"/>
  <c r="D19" i="1"/>
  <c r="D22" i="1"/>
  <c r="D26" i="1"/>
  <c r="D30" i="1"/>
  <c r="D33" i="1"/>
  <c r="D35" i="1"/>
  <c r="D39" i="1"/>
  <c r="D41" i="1"/>
  <c r="D44" i="1"/>
  <c r="D47" i="1"/>
  <c r="D4" i="1"/>
  <c r="D9" i="1"/>
  <c r="D13" i="1"/>
  <c r="D15" i="1"/>
  <c r="D18" i="1"/>
  <c r="D21" i="1"/>
  <c r="D24" i="1"/>
  <c r="D25" i="1"/>
  <c r="D28" i="1"/>
  <c r="D32" i="1"/>
  <c r="D36" i="1"/>
  <c r="D40" i="1"/>
  <c r="D43" i="1"/>
  <c r="D45" i="1"/>
  <c r="D48" i="1"/>
</calcChain>
</file>

<file path=xl/sharedStrings.xml><?xml version="1.0" encoding="utf-8"?>
<sst xmlns="http://schemas.openxmlformats.org/spreadsheetml/2006/main" count="65" uniqueCount="56">
  <si>
    <t>Frankreich</t>
  </si>
  <si>
    <t>England</t>
  </si>
  <si>
    <t>Brasilien</t>
  </si>
  <si>
    <t>Argentinien</t>
  </si>
  <si>
    <t>Portugal</t>
  </si>
  <si>
    <t>Deutschland</t>
  </si>
  <si>
    <t>Niederlande</t>
  </si>
  <si>
    <t>Norwegen</t>
  </si>
  <si>
    <t>Belgien</t>
  </si>
  <si>
    <t>Kolumbien</t>
  </si>
  <si>
    <t>Japan</t>
  </si>
  <si>
    <t>Marokko</t>
  </si>
  <si>
    <t>Uruguay</t>
  </si>
  <si>
    <t>USA</t>
  </si>
  <si>
    <t>Mexiko</t>
  </si>
  <si>
    <t>Kroatien</t>
  </si>
  <si>
    <t>Schweiz</t>
  </si>
  <si>
    <t>Türkei</t>
  </si>
  <si>
    <t>Ecuador</t>
  </si>
  <si>
    <t>Senegal</t>
  </si>
  <si>
    <t>Schweden</t>
  </si>
  <si>
    <t>Österreich</t>
  </si>
  <si>
    <t>Paraguay</t>
  </si>
  <si>
    <t>Kanada</t>
  </si>
  <si>
    <t>Bosnien &amp; Herzegowina</t>
  </si>
  <si>
    <t>Schottland</t>
  </si>
  <si>
    <t>Tschechien</t>
  </si>
  <si>
    <t>Elfenbeinküste</t>
  </si>
  <si>
    <t>Ägypten</t>
  </si>
  <si>
    <t>Ghana</t>
  </si>
  <si>
    <t>Südkorea</t>
  </si>
  <si>
    <t>Algerien</t>
  </si>
  <si>
    <t>Tunesien</t>
  </si>
  <si>
    <t>Australien</t>
  </si>
  <si>
    <t>Iran</t>
  </si>
  <si>
    <t>DR Kongo</t>
  </si>
  <si>
    <t>Südafrika</t>
  </si>
  <si>
    <t>Katar</t>
  </si>
  <si>
    <t>Saudi Arabien</t>
  </si>
  <si>
    <t>Panama</t>
  </si>
  <si>
    <t>Neuseeland</t>
  </si>
  <si>
    <t>Irak</t>
  </si>
  <si>
    <t>Kap Verde</t>
  </si>
  <si>
    <t>Curacao</t>
  </si>
  <si>
    <t>Usbekistan</t>
  </si>
  <si>
    <t>Jordanien</t>
  </si>
  <si>
    <t>Haiti</t>
  </si>
  <si>
    <t>Spanien</t>
  </si>
  <si>
    <t>Team</t>
  </si>
  <si>
    <t>Tipico</t>
  </si>
  <si>
    <t>Quote</t>
  </si>
  <si>
    <t>Faire Siegwahrscheinlichkeit</t>
  </si>
  <si>
    <t>Bwin</t>
  </si>
  <si>
    <t>bet-at-home</t>
  </si>
  <si>
    <t>Betano</t>
  </si>
  <si>
    <t>Durchschnitt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</si>
</sst>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4A4F53"/>
      <name val="Arial"/>
      <family val="2"/>
    </font>
    <font>
      <sz val="11"/>
      <color rgb="FF4A4F53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10" fontId="1" fillId="0" borderId="0" xfId="0" applyNumberFormat="1" applyFont="1"/>
    <xf numFmtId="3" fontId="3" fillId="0" borderId="0" xfId="0" applyNumberFormat="1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2000" b="1"/>
              <a:t>Siegwahrscheinlichkeiten WM 2026 (Wettanbieter)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Tipico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Tabelle1!$A$3:$A$12</c:f>
              <c:strCache>
                <c:ptCount val="10"/>
                <c:pt idx="0">
                  <c:v>Spanien</c:v>
                </c:pt>
                <c:pt idx="1">
                  <c:v>Frankreich</c:v>
                </c:pt>
                <c:pt idx="2">
                  <c:v>England</c:v>
                </c:pt>
                <c:pt idx="3">
                  <c:v>Brasilien</c:v>
                </c:pt>
                <c:pt idx="4">
                  <c:v>Argentinien</c:v>
                </c:pt>
                <c:pt idx="5">
                  <c:v>Portugal</c:v>
                </c:pt>
                <c:pt idx="6">
                  <c:v>Deutschland</c:v>
                </c:pt>
                <c:pt idx="7">
                  <c:v>Niederlande</c:v>
                </c:pt>
                <c:pt idx="8">
                  <c:v>Norwegen</c:v>
                </c:pt>
                <c:pt idx="9">
                  <c:v>Belgien</c:v>
                </c:pt>
              </c:strCache>
            </c:strRef>
          </c:cat>
          <c:val>
            <c:numRef>
              <c:f>Tabelle1!$D$3:$D$12</c:f>
              <c:numCache>
                <c:formatCode>0.00%</c:formatCode>
                <c:ptCount val="10"/>
                <c:pt idx="0">
                  <c:v>0.13914251108502018</c:v>
                </c:pt>
                <c:pt idx="1">
                  <c:v>0.13914251108502018</c:v>
                </c:pt>
                <c:pt idx="2">
                  <c:v>0.11926500950144586</c:v>
                </c:pt>
                <c:pt idx="3">
                  <c:v>9.2761674056680121E-2</c:v>
                </c:pt>
                <c:pt idx="4">
                  <c:v>9.2761674056680121E-2</c:v>
                </c:pt>
                <c:pt idx="5">
                  <c:v>6.9571255542510091E-2</c:v>
                </c:pt>
                <c:pt idx="6">
                  <c:v>5.5657004434008069E-2</c:v>
                </c:pt>
                <c:pt idx="7">
                  <c:v>4.174275332550606E-2</c:v>
                </c:pt>
                <c:pt idx="8">
                  <c:v>2.7828502217004034E-2</c:v>
                </c:pt>
                <c:pt idx="9">
                  <c:v>2.087137666275303E-2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7-4E54-9D67-372D8F997A2D}"/>
            </c:ext>
          </c:extLst>
        </c:ser>
        <c:ser>
          <c:idx val="1"/>
          <c:order val="1"/>
          <c:tx>
            <c:strRef>
              <c:f>Tabelle1!$E$1</c:f>
              <c:strCache>
                <c:ptCount val="1"/>
                <c:pt idx="0">
                  <c:v>Bwin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Tabelle1!$A$3:$A$12</c:f>
              <c:strCache>
                <c:ptCount val="10"/>
                <c:pt idx="0">
                  <c:v>Spanien</c:v>
                </c:pt>
                <c:pt idx="1">
                  <c:v>Frankreich</c:v>
                </c:pt>
                <c:pt idx="2">
                  <c:v>England</c:v>
                </c:pt>
                <c:pt idx="3">
                  <c:v>Brasilien</c:v>
                </c:pt>
                <c:pt idx="4">
                  <c:v>Argentinien</c:v>
                </c:pt>
                <c:pt idx="5">
                  <c:v>Portugal</c:v>
                </c:pt>
                <c:pt idx="6">
                  <c:v>Deutschland</c:v>
                </c:pt>
                <c:pt idx="7">
                  <c:v>Niederlande</c:v>
                </c:pt>
                <c:pt idx="8">
                  <c:v>Norwegen</c:v>
                </c:pt>
                <c:pt idx="9">
                  <c:v>Belgien</c:v>
                </c:pt>
              </c:strCache>
            </c:strRef>
          </c:cat>
          <c:val>
            <c:numRef>
              <c:f>Tabelle1!$G$3:$G$12</c:f>
              <c:numCache>
                <c:formatCode>0.00%</c:formatCode>
                <c:ptCount val="10"/>
                <c:pt idx="0">
                  <c:v>0.13914251108502018</c:v>
                </c:pt>
                <c:pt idx="1">
                  <c:v>0.15179183027456747</c:v>
                </c:pt>
                <c:pt idx="2">
                  <c:v>0.11131400886801614</c:v>
                </c:pt>
                <c:pt idx="3">
                  <c:v>9.2761674056680121E-2</c:v>
                </c:pt>
                <c:pt idx="4">
                  <c:v>9.2761674056680121E-2</c:v>
                </c:pt>
                <c:pt idx="5">
                  <c:v>7.5895915137283734E-2</c:v>
                </c:pt>
                <c:pt idx="6">
                  <c:v>5.5657004434008069E-2</c:v>
                </c:pt>
                <c:pt idx="7">
                  <c:v>3.9755003167148618E-2</c:v>
                </c:pt>
                <c:pt idx="8">
                  <c:v>3.2109810250389274E-2</c:v>
                </c:pt>
                <c:pt idx="9">
                  <c:v>2.4554560779709442E-2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7-4E54-9D67-372D8F997A2D}"/>
            </c:ext>
          </c:extLst>
        </c:ser>
        <c:ser>
          <c:idx val="2"/>
          <c:order val="2"/>
          <c:tx>
            <c:strRef>
              <c:f>Tabelle1!$H$1</c:f>
              <c:strCache>
                <c:ptCount val="1"/>
                <c:pt idx="0">
                  <c:v>Bwin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Tabelle1!$A$3:$A$12</c:f>
              <c:strCache>
                <c:ptCount val="10"/>
                <c:pt idx="0">
                  <c:v>Spanien</c:v>
                </c:pt>
                <c:pt idx="1">
                  <c:v>Frankreich</c:v>
                </c:pt>
                <c:pt idx="2">
                  <c:v>England</c:v>
                </c:pt>
                <c:pt idx="3">
                  <c:v>Brasilien</c:v>
                </c:pt>
                <c:pt idx="4">
                  <c:v>Argentinien</c:v>
                </c:pt>
                <c:pt idx="5">
                  <c:v>Portugal</c:v>
                </c:pt>
                <c:pt idx="6">
                  <c:v>Deutschland</c:v>
                </c:pt>
                <c:pt idx="7">
                  <c:v>Niederlande</c:v>
                </c:pt>
                <c:pt idx="8">
                  <c:v>Norwegen</c:v>
                </c:pt>
                <c:pt idx="9">
                  <c:v>Belgien</c:v>
                </c:pt>
              </c:strCache>
            </c:strRef>
          </c:cat>
          <c:val>
            <c:numRef>
              <c:f>Tabelle1!$J$3:$J$12</c:f>
              <c:numCache>
                <c:formatCode>0.00%</c:formatCode>
                <c:ptCount val="10"/>
                <c:pt idx="0">
                  <c:v>0.15179183027456747</c:v>
                </c:pt>
                <c:pt idx="1">
                  <c:v>0.1284392410015571</c:v>
                </c:pt>
                <c:pt idx="2">
                  <c:v>0.11926500950144586</c:v>
                </c:pt>
                <c:pt idx="3">
                  <c:v>9.2761674056680121E-2</c:v>
                </c:pt>
                <c:pt idx="4">
                  <c:v>9.2761674056680121E-2</c:v>
                </c:pt>
                <c:pt idx="5">
                  <c:v>6.9571255542510091E-2</c:v>
                </c:pt>
                <c:pt idx="6">
                  <c:v>6.4219620500778549E-2</c:v>
                </c:pt>
                <c:pt idx="7">
                  <c:v>3.9755003167148618E-2</c:v>
                </c:pt>
                <c:pt idx="8">
                  <c:v>3.2109810250389274E-2</c:v>
                </c:pt>
                <c:pt idx="9">
                  <c:v>2.4554560779709442E-2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7-4E54-9D67-372D8F997A2D}"/>
            </c:ext>
          </c:extLst>
        </c:ser>
        <c:ser>
          <c:idx val="3"/>
          <c:order val="3"/>
          <c:tx>
            <c:strRef>
              <c:f>Tabelle1!$K$1</c:f>
              <c:strCache>
                <c:ptCount val="1"/>
                <c:pt idx="0">
                  <c:v>bet-at-home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Tabelle1!$A$3:$A$12</c:f>
              <c:strCache>
                <c:ptCount val="10"/>
                <c:pt idx="0">
                  <c:v>Spanien</c:v>
                </c:pt>
                <c:pt idx="1">
                  <c:v>Frankreich</c:v>
                </c:pt>
                <c:pt idx="2">
                  <c:v>England</c:v>
                </c:pt>
                <c:pt idx="3">
                  <c:v>Brasilien</c:v>
                </c:pt>
                <c:pt idx="4">
                  <c:v>Argentinien</c:v>
                </c:pt>
                <c:pt idx="5">
                  <c:v>Portugal</c:v>
                </c:pt>
                <c:pt idx="6">
                  <c:v>Deutschland</c:v>
                </c:pt>
                <c:pt idx="7">
                  <c:v>Niederlande</c:v>
                </c:pt>
                <c:pt idx="8">
                  <c:v>Norwegen</c:v>
                </c:pt>
                <c:pt idx="9">
                  <c:v>Belgien</c:v>
                </c:pt>
              </c:strCache>
            </c:strRef>
          </c:cat>
          <c:val>
            <c:numRef>
              <c:f>Tabelle1!$M$3:$M$12</c:f>
              <c:numCache>
                <c:formatCode>0.00%</c:formatCode>
                <c:ptCount val="10"/>
                <c:pt idx="0">
                  <c:v>0.14519218548002105</c:v>
                </c:pt>
                <c:pt idx="1">
                  <c:v>0.13357681064161939</c:v>
                </c:pt>
                <c:pt idx="2">
                  <c:v>0.11131400886801614</c:v>
                </c:pt>
                <c:pt idx="3">
                  <c:v>8.7879480685275901E-2</c:v>
                </c:pt>
                <c:pt idx="4">
                  <c:v>8.7879480685275901E-2</c:v>
                </c:pt>
                <c:pt idx="5">
                  <c:v>6.9571255542510091E-2</c:v>
                </c:pt>
                <c:pt idx="6">
                  <c:v>5.5657004434008069E-2</c:v>
                </c:pt>
                <c:pt idx="7">
                  <c:v>4.174275332550606E-2</c:v>
                </c:pt>
                <c:pt idx="8">
                  <c:v>2.9816252375361466E-2</c:v>
                </c:pt>
                <c:pt idx="9">
                  <c:v>2.3853001900289172E-2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77-4E54-9D67-372D8F997A2D}"/>
            </c:ext>
          </c:extLst>
        </c:ser>
        <c:ser>
          <c:idx val="4"/>
          <c:order val="4"/>
          <c:tx>
            <c:strRef>
              <c:f>Tabelle1!$N$1</c:f>
              <c:strCache>
                <c:ptCount val="1"/>
                <c:pt idx="0">
                  <c:v>Betano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Tabelle1!$A$3:$A$12</c:f>
              <c:strCache>
                <c:ptCount val="10"/>
                <c:pt idx="0">
                  <c:v>Spanien</c:v>
                </c:pt>
                <c:pt idx="1">
                  <c:v>Frankreich</c:v>
                </c:pt>
                <c:pt idx="2">
                  <c:v>England</c:v>
                </c:pt>
                <c:pt idx="3">
                  <c:v>Brasilien</c:v>
                </c:pt>
                <c:pt idx="4">
                  <c:v>Argentinien</c:v>
                </c:pt>
                <c:pt idx="5">
                  <c:v>Portugal</c:v>
                </c:pt>
                <c:pt idx="6">
                  <c:v>Deutschland</c:v>
                </c:pt>
                <c:pt idx="7">
                  <c:v>Niederlande</c:v>
                </c:pt>
                <c:pt idx="8">
                  <c:v>Norwegen</c:v>
                </c:pt>
                <c:pt idx="9">
                  <c:v>Belgien</c:v>
                </c:pt>
              </c:strCache>
            </c:strRef>
          </c:cat>
          <c:val>
            <c:numRef>
              <c:f>Tabelle1!$P$3:$P$12</c:f>
              <c:numCache>
                <c:formatCode>0.00%</c:formatCode>
                <c:ptCount val="10"/>
                <c:pt idx="0">
                  <c:v>0.15179183027456747</c:v>
                </c:pt>
                <c:pt idx="1">
                  <c:v>0.1284392410015571</c:v>
                </c:pt>
                <c:pt idx="2">
                  <c:v>0.11926500950144586</c:v>
                </c:pt>
                <c:pt idx="3">
                  <c:v>9.2761674056680121E-2</c:v>
                </c:pt>
                <c:pt idx="4">
                  <c:v>9.2761674056680121E-2</c:v>
                </c:pt>
                <c:pt idx="5">
                  <c:v>6.4219620500778549E-2</c:v>
                </c:pt>
                <c:pt idx="6">
                  <c:v>6.4219620500778549E-2</c:v>
                </c:pt>
                <c:pt idx="7">
                  <c:v>4.174275332550606E-2</c:v>
                </c:pt>
                <c:pt idx="8">
                  <c:v>3.3394202660404847E-2</c:v>
                </c:pt>
                <c:pt idx="9">
                  <c:v>2.3853001900289172E-2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77-4E54-9D67-372D8F997A2D}"/>
            </c:ext>
          </c:extLst>
        </c:ser>
        <c:ser>
          <c:idx val="5"/>
          <c:order val="5"/>
          <c:tx>
            <c:strRef>
              <c:f>Tabelle1!$R$1</c:f>
              <c:strCache>
                <c:ptCount val="1"/>
                <c:pt idx="0">
                  <c:v>Durchschnitt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Tabelle1!$A$3:$A$12</c:f>
              <c:strCache>
                <c:ptCount val="10"/>
                <c:pt idx="0">
                  <c:v>Spanien</c:v>
                </c:pt>
                <c:pt idx="1">
                  <c:v>Frankreich</c:v>
                </c:pt>
                <c:pt idx="2">
                  <c:v>England</c:v>
                </c:pt>
                <c:pt idx="3">
                  <c:v>Brasilien</c:v>
                </c:pt>
                <c:pt idx="4">
                  <c:v>Argentinien</c:v>
                </c:pt>
                <c:pt idx="5">
                  <c:v>Portugal</c:v>
                </c:pt>
                <c:pt idx="6">
                  <c:v>Deutschland</c:v>
                </c:pt>
                <c:pt idx="7">
                  <c:v>Niederlande</c:v>
                </c:pt>
                <c:pt idx="8">
                  <c:v>Norwegen</c:v>
                </c:pt>
                <c:pt idx="9">
                  <c:v>Belgien</c:v>
                </c:pt>
              </c:strCache>
            </c:strRef>
          </c:cat>
          <c:val>
            <c:numRef>
              <c:f>Tabelle1!$R$3:$R$12</c:f>
              <c:numCache>
                <c:formatCode>0.00%</c:formatCode>
                <c:ptCount val="10"/>
                <c:pt idx="0">
                  <c:v>0.14541217363983924</c:v>
                </c:pt>
                <c:pt idx="1">
                  <c:v>0.13627792680086426</c:v>
                </c:pt>
                <c:pt idx="2">
                  <c:v>0.11608460924807398</c:v>
                </c:pt>
                <c:pt idx="3">
                  <c:v>9.1785235382399272E-2</c:v>
                </c:pt>
                <c:pt idx="4">
                  <c:v>9.1785235382399272E-2</c:v>
                </c:pt>
                <c:pt idx="5">
                  <c:v>6.9765860453118514E-2</c:v>
                </c:pt>
                <c:pt idx="6">
                  <c:v>5.9082050860716259E-2</c:v>
                </c:pt>
                <c:pt idx="7">
                  <c:v>4.0947653262163083E-2</c:v>
                </c:pt>
                <c:pt idx="8">
                  <c:v>3.105171555070978E-2</c:v>
                </c:pt>
                <c:pt idx="9">
                  <c:v>2.353730040455005E-2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77-4E54-9D67-372D8F997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8579376"/>
        <c:axId val="768574096"/>
      </c:barChart>
      <c:catAx>
        <c:axId val="76857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8574096"/>
        <c:crosses val="autoZero"/>
        <c:auto val="1"/>
        <c:lblAlgn val="ctr"/>
        <c:lblOffset val="100"/>
        <c:noMultiLvlLbl val="0"/>
      </c:catAx>
      <c:valAx>
        <c:axId val="76857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85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190500</xdr:colOff>
      <xdr:row>5</xdr:row>
      <xdr:rowOff>0</xdr:rowOff>
    </xdr:to>
    <xdr:sp macro="" textlink="">
      <xdr:nvSpPr>
        <xdr:cNvPr id="1742" name="AutoShape 718" descr="Teamlogo">
          <a:extLst>
            <a:ext uri="{FF2B5EF4-FFF2-40B4-BE49-F238E27FC236}">
              <a16:creationId xmlns:a16="http://schemas.microsoft.com/office/drawing/2014/main" id="{98BF387A-E1C0-4B55-B04F-0073ECFA84C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190500</xdr:colOff>
      <xdr:row>8</xdr:row>
      <xdr:rowOff>0</xdr:rowOff>
    </xdr:to>
    <xdr:sp macro="" textlink="">
      <xdr:nvSpPr>
        <xdr:cNvPr id="1743" name="AutoShape 719" descr="Teamlogo">
          <a:extLst>
            <a:ext uri="{FF2B5EF4-FFF2-40B4-BE49-F238E27FC236}">
              <a16:creationId xmlns:a16="http://schemas.microsoft.com/office/drawing/2014/main" id="{4E9A7CF4-E474-3214-1662-3D23DD990D1B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190500</xdr:colOff>
      <xdr:row>11</xdr:row>
      <xdr:rowOff>0</xdr:rowOff>
    </xdr:to>
    <xdr:sp macro="" textlink="">
      <xdr:nvSpPr>
        <xdr:cNvPr id="1744" name="AutoShape 720" descr="Teamlogo">
          <a:extLst>
            <a:ext uri="{FF2B5EF4-FFF2-40B4-BE49-F238E27FC236}">
              <a16:creationId xmlns:a16="http://schemas.microsoft.com/office/drawing/2014/main" id="{5BC2EA00-B2F2-A25C-421D-8CD7DFA5A810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190500</xdr:colOff>
      <xdr:row>14</xdr:row>
      <xdr:rowOff>0</xdr:rowOff>
    </xdr:to>
    <xdr:sp macro="" textlink="">
      <xdr:nvSpPr>
        <xdr:cNvPr id="1745" name="AutoShape 721" descr="Teamlogo">
          <a:extLst>
            <a:ext uri="{FF2B5EF4-FFF2-40B4-BE49-F238E27FC236}">
              <a16:creationId xmlns:a16="http://schemas.microsoft.com/office/drawing/2014/main" id="{F3170C66-9FE3-5112-2D74-07CFB2A2D86B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190500</xdr:colOff>
      <xdr:row>17</xdr:row>
      <xdr:rowOff>0</xdr:rowOff>
    </xdr:to>
    <xdr:sp macro="" textlink="">
      <xdr:nvSpPr>
        <xdr:cNvPr id="1746" name="AutoShape 722" descr="Teamlogo">
          <a:extLst>
            <a:ext uri="{FF2B5EF4-FFF2-40B4-BE49-F238E27FC236}">
              <a16:creationId xmlns:a16="http://schemas.microsoft.com/office/drawing/2014/main" id="{3FE61F0D-A465-EB8D-0442-604ADAE7B688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190500</xdr:colOff>
      <xdr:row>20</xdr:row>
      <xdr:rowOff>0</xdr:rowOff>
    </xdr:to>
    <xdr:sp macro="" textlink="">
      <xdr:nvSpPr>
        <xdr:cNvPr id="1747" name="AutoShape 723" descr="Teamlogo">
          <a:extLst>
            <a:ext uri="{FF2B5EF4-FFF2-40B4-BE49-F238E27FC236}">
              <a16:creationId xmlns:a16="http://schemas.microsoft.com/office/drawing/2014/main" id="{F2621476-6467-63EE-C928-4658A5B7337C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190500</xdr:colOff>
      <xdr:row>23</xdr:row>
      <xdr:rowOff>0</xdr:rowOff>
    </xdr:to>
    <xdr:sp macro="" textlink="">
      <xdr:nvSpPr>
        <xdr:cNvPr id="1748" name="AutoShape 724" descr="Teamlogo">
          <a:extLst>
            <a:ext uri="{FF2B5EF4-FFF2-40B4-BE49-F238E27FC236}">
              <a16:creationId xmlns:a16="http://schemas.microsoft.com/office/drawing/2014/main" id="{F31D58A8-1DD3-5778-7E35-62839D4AE7C0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</xdr:colOff>
      <xdr:row>26</xdr:row>
      <xdr:rowOff>0</xdr:rowOff>
    </xdr:to>
    <xdr:sp macro="" textlink="">
      <xdr:nvSpPr>
        <xdr:cNvPr id="1749" name="AutoShape 725" descr="Teamlogo">
          <a:extLst>
            <a:ext uri="{FF2B5EF4-FFF2-40B4-BE49-F238E27FC236}">
              <a16:creationId xmlns:a16="http://schemas.microsoft.com/office/drawing/2014/main" id="{1618B82C-1330-10F2-EFE0-B510804BF23C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</xdr:colOff>
      <xdr:row>29</xdr:row>
      <xdr:rowOff>0</xdr:rowOff>
    </xdr:to>
    <xdr:sp macro="" textlink="">
      <xdr:nvSpPr>
        <xdr:cNvPr id="1750" name="AutoShape 726" descr="Teamlogo">
          <a:extLst>
            <a:ext uri="{FF2B5EF4-FFF2-40B4-BE49-F238E27FC236}">
              <a16:creationId xmlns:a16="http://schemas.microsoft.com/office/drawing/2014/main" id="{647B9112-8B98-2766-EE92-18B2236B40F7}"/>
            </a:ext>
          </a:extLst>
        </xdr:cNvPr>
        <xdr:cNvSpPr>
          <a:spLocks noChangeAspect="1" noChangeArrowheads="1"/>
        </xdr:cNvSpPr>
      </xdr:nvSpPr>
      <xdr:spPr bwMode="auto">
        <a:xfrm>
          <a:off x="0" y="47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</xdr:colOff>
      <xdr:row>32</xdr:row>
      <xdr:rowOff>0</xdr:rowOff>
    </xdr:to>
    <xdr:sp macro="" textlink="">
      <xdr:nvSpPr>
        <xdr:cNvPr id="1751" name="AutoShape 727" descr="Teamlogo">
          <a:extLst>
            <a:ext uri="{FF2B5EF4-FFF2-40B4-BE49-F238E27FC236}">
              <a16:creationId xmlns:a16="http://schemas.microsoft.com/office/drawing/2014/main" id="{A2B03D31-2539-1FC6-C6D1-734CE55D07D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</xdr:colOff>
      <xdr:row>35</xdr:row>
      <xdr:rowOff>0</xdr:rowOff>
    </xdr:to>
    <xdr:sp macro="" textlink="">
      <xdr:nvSpPr>
        <xdr:cNvPr id="1752" name="AutoShape 728" descr="Teamlogo">
          <a:extLst>
            <a:ext uri="{FF2B5EF4-FFF2-40B4-BE49-F238E27FC236}">
              <a16:creationId xmlns:a16="http://schemas.microsoft.com/office/drawing/2014/main" id="{430B124C-671A-80E0-9FA5-2E3611EC98E0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</xdr:colOff>
      <xdr:row>38</xdr:row>
      <xdr:rowOff>0</xdr:rowOff>
    </xdr:to>
    <xdr:sp macro="" textlink="">
      <xdr:nvSpPr>
        <xdr:cNvPr id="1753" name="AutoShape 729" descr="Teamlogo">
          <a:extLst>
            <a:ext uri="{FF2B5EF4-FFF2-40B4-BE49-F238E27FC236}">
              <a16:creationId xmlns:a16="http://schemas.microsoft.com/office/drawing/2014/main" id="{B0E57972-6ACF-BE7F-3113-FC61EBF8DA9C}"/>
            </a:ext>
          </a:extLst>
        </xdr:cNvPr>
        <xdr:cNvSpPr>
          <a:spLocks noChangeAspect="1" noChangeArrowheads="1"/>
        </xdr:cNvSpPr>
      </xdr:nvSpPr>
      <xdr:spPr bwMode="auto">
        <a:xfrm>
          <a:off x="0" y="64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</xdr:colOff>
      <xdr:row>41</xdr:row>
      <xdr:rowOff>0</xdr:rowOff>
    </xdr:to>
    <xdr:sp macro="" textlink="">
      <xdr:nvSpPr>
        <xdr:cNvPr id="1754" name="AutoShape 730" descr="Teamlogo">
          <a:extLst>
            <a:ext uri="{FF2B5EF4-FFF2-40B4-BE49-F238E27FC236}">
              <a16:creationId xmlns:a16="http://schemas.microsoft.com/office/drawing/2014/main" id="{9192414B-57D7-B91B-DC27-E81ECA6DCAAF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190500</xdr:colOff>
      <xdr:row>44</xdr:row>
      <xdr:rowOff>0</xdr:rowOff>
    </xdr:to>
    <xdr:sp macro="" textlink="">
      <xdr:nvSpPr>
        <xdr:cNvPr id="1755" name="AutoShape 731" descr="Teamlogo">
          <a:extLst>
            <a:ext uri="{FF2B5EF4-FFF2-40B4-BE49-F238E27FC236}">
              <a16:creationId xmlns:a16="http://schemas.microsoft.com/office/drawing/2014/main" id="{DC0F0E86-B248-DB6C-BBB1-3D1CBD13F045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190500</xdr:colOff>
      <xdr:row>47</xdr:row>
      <xdr:rowOff>0</xdr:rowOff>
    </xdr:to>
    <xdr:sp macro="" textlink="">
      <xdr:nvSpPr>
        <xdr:cNvPr id="1756" name="AutoShape 732" descr="Teamlogo">
          <a:extLst>
            <a:ext uri="{FF2B5EF4-FFF2-40B4-BE49-F238E27FC236}">
              <a16:creationId xmlns:a16="http://schemas.microsoft.com/office/drawing/2014/main" id="{8240428C-085E-15AE-5A94-28D20791D815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190500</xdr:colOff>
      <xdr:row>50</xdr:row>
      <xdr:rowOff>0</xdr:rowOff>
    </xdr:to>
    <xdr:sp macro="" textlink="">
      <xdr:nvSpPr>
        <xdr:cNvPr id="1757" name="AutoShape 733" descr="Teamlogo">
          <a:extLst>
            <a:ext uri="{FF2B5EF4-FFF2-40B4-BE49-F238E27FC236}">
              <a16:creationId xmlns:a16="http://schemas.microsoft.com/office/drawing/2014/main" id="{9DAB786D-89CD-51BC-360B-A54348434949}"/>
            </a:ext>
          </a:extLst>
        </xdr:cNvPr>
        <xdr:cNvSpPr>
          <a:spLocks noChangeAspect="1" noChangeArrowheads="1"/>
        </xdr:cNvSpPr>
      </xdr:nvSpPr>
      <xdr:spPr bwMode="auto">
        <a:xfrm>
          <a:off x="0" y="87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190500</xdr:colOff>
      <xdr:row>53</xdr:row>
      <xdr:rowOff>10583</xdr:rowOff>
    </xdr:to>
    <xdr:sp macro="" textlink="">
      <xdr:nvSpPr>
        <xdr:cNvPr id="1758" name="AutoShape 734" descr="Teamlogo">
          <a:extLst>
            <a:ext uri="{FF2B5EF4-FFF2-40B4-BE49-F238E27FC236}">
              <a16:creationId xmlns:a16="http://schemas.microsoft.com/office/drawing/2014/main" id="{88749F38-3B7F-43AC-EDA0-069E5E8D2C41}"/>
            </a:ext>
          </a:extLst>
        </xdr:cNvPr>
        <xdr:cNvSpPr>
          <a:spLocks noChangeAspect="1" noChangeArrowheads="1"/>
        </xdr:cNvSpPr>
      </xdr:nvSpPr>
      <xdr:spPr bwMode="auto">
        <a:xfrm>
          <a:off x="0" y="93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190500</xdr:colOff>
      <xdr:row>56</xdr:row>
      <xdr:rowOff>10583</xdr:rowOff>
    </xdr:to>
    <xdr:sp macro="" textlink="">
      <xdr:nvSpPr>
        <xdr:cNvPr id="1759" name="AutoShape 735" descr="Teamlogo">
          <a:extLst>
            <a:ext uri="{FF2B5EF4-FFF2-40B4-BE49-F238E27FC236}">
              <a16:creationId xmlns:a16="http://schemas.microsoft.com/office/drawing/2014/main" id="{7E531CD8-71D8-4E34-1A11-4F8814BFEA56}"/>
            </a:ext>
          </a:extLst>
        </xdr:cNvPr>
        <xdr:cNvSpPr>
          <a:spLocks noChangeAspect="1" noChangeArrowheads="1"/>
        </xdr:cNvSpPr>
      </xdr:nvSpPr>
      <xdr:spPr bwMode="auto">
        <a:xfrm>
          <a:off x="0" y="99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190500</xdr:colOff>
      <xdr:row>59</xdr:row>
      <xdr:rowOff>10583</xdr:rowOff>
    </xdr:to>
    <xdr:sp macro="" textlink="">
      <xdr:nvSpPr>
        <xdr:cNvPr id="1760" name="AutoShape 736" descr="Teamlogo">
          <a:extLst>
            <a:ext uri="{FF2B5EF4-FFF2-40B4-BE49-F238E27FC236}">
              <a16:creationId xmlns:a16="http://schemas.microsoft.com/office/drawing/2014/main" id="{75757F7C-4868-9E98-028A-BD80096E5E80}"/>
            </a:ext>
          </a:extLst>
        </xdr:cNvPr>
        <xdr:cNvSpPr>
          <a:spLocks noChangeAspect="1" noChangeArrowheads="1"/>
        </xdr:cNvSpPr>
      </xdr:nvSpPr>
      <xdr:spPr bwMode="auto">
        <a:xfrm>
          <a:off x="0" y="104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190500</xdr:colOff>
      <xdr:row>62</xdr:row>
      <xdr:rowOff>10583</xdr:rowOff>
    </xdr:to>
    <xdr:sp macro="" textlink="">
      <xdr:nvSpPr>
        <xdr:cNvPr id="1761" name="AutoShape 737" descr="Teamlogo">
          <a:extLst>
            <a:ext uri="{FF2B5EF4-FFF2-40B4-BE49-F238E27FC236}">
              <a16:creationId xmlns:a16="http://schemas.microsoft.com/office/drawing/2014/main" id="{D8F95FC2-2B36-29BC-7A51-594C11A79AEC}"/>
            </a:ext>
          </a:extLst>
        </xdr:cNvPr>
        <xdr:cNvSpPr>
          <a:spLocks noChangeAspect="1" noChangeArrowheads="1"/>
        </xdr:cNvSpPr>
      </xdr:nvSpPr>
      <xdr:spPr bwMode="auto">
        <a:xfrm>
          <a:off x="0" y="110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190500</xdr:colOff>
      <xdr:row>65</xdr:row>
      <xdr:rowOff>10583</xdr:rowOff>
    </xdr:to>
    <xdr:sp macro="" textlink="">
      <xdr:nvSpPr>
        <xdr:cNvPr id="1762" name="AutoShape 738" descr="Teamlogo">
          <a:extLst>
            <a:ext uri="{FF2B5EF4-FFF2-40B4-BE49-F238E27FC236}">
              <a16:creationId xmlns:a16="http://schemas.microsoft.com/office/drawing/2014/main" id="{41109071-4CB8-F817-5B3C-36DA10B7C66A}"/>
            </a:ext>
          </a:extLst>
        </xdr:cNvPr>
        <xdr:cNvSpPr>
          <a:spLocks noChangeAspect="1" noChangeArrowheads="1"/>
        </xdr:cNvSpPr>
      </xdr:nvSpPr>
      <xdr:spPr bwMode="auto">
        <a:xfrm>
          <a:off x="0" y="116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190500</xdr:colOff>
      <xdr:row>68</xdr:row>
      <xdr:rowOff>10583</xdr:rowOff>
    </xdr:to>
    <xdr:sp macro="" textlink="">
      <xdr:nvSpPr>
        <xdr:cNvPr id="1763" name="AutoShape 739" descr="Teamlogo">
          <a:extLst>
            <a:ext uri="{FF2B5EF4-FFF2-40B4-BE49-F238E27FC236}">
              <a16:creationId xmlns:a16="http://schemas.microsoft.com/office/drawing/2014/main" id="{B0AA50A4-8CFC-421E-549A-471770AEF942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190500</xdr:colOff>
      <xdr:row>71</xdr:row>
      <xdr:rowOff>10583</xdr:rowOff>
    </xdr:to>
    <xdr:sp macro="" textlink="">
      <xdr:nvSpPr>
        <xdr:cNvPr id="1764" name="AutoShape 740" descr="Teamlogo">
          <a:extLst>
            <a:ext uri="{FF2B5EF4-FFF2-40B4-BE49-F238E27FC236}">
              <a16:creationId xmlns:a16="http://schemas.microsoft.com/office/drawing/2014/main" id="{EDD9780A-F987-AE25-A852-7755B8E7BAD0}"/>
            </a:ext>
          </a:extLst>
        </xdr:cNvPr>
        <xdr:cNvSpPr>
          <a:spLocks noChangeAspect="1" noChangeArrowheads="1"/>
        </xdr:cNvSpPr>
      </xdr:nvSpPr>
      <xdr:spPr bwMode="auto">
        <a:xfrm>
          <a:off x="0" y="127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190500</xdr:colOff>
      <xdr:row>74</xdr:row>
      <xdr:rowOff>10583</xdr:rowOff>
    </xdr:to>
    <xdr:sp macro="" textlink="">
      <xdr:nvSpPr>
        <xdr:cNvPr id="1765" name="AutoShape 741" descr="Teamlogo">
          <a:extLst>
            <a:ext uri="{FF2B5EF4-FFF2-40B4-BE49-F238E27FC236}">
              <a16:creationId xmlns:a16="http://schemas.microsoft.com/office/drawing/2014/main" id="{EBDECFE5-69F2-5872-D230-12222A9E7F47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</xdr:colOff>
      <xdr:row>77</xdr:row>
      <xdr:rowOff>10583</xdr:rowOff>
    </xdr:to>
    <xdr:sp macro="" textlink="">
      <xdr:nvSpPr>
        <xdr:cNvPr id="1766" name="AutoShape 742" descr="Teamlogo">
          <a:extLst>
            <a:ext uri="{FF2B5EF4-FFF2-40B4-BE49-F238E27FC236}">
              <a16:creationId xmlns:a16="http://schemas.microsoft.com/office/drawing/2014/main" id="{ABD3FCAC-EA72-3D99-E4E5-C9B7D04125AC}"/>
            </a:ext>
          </a:extLst>
        </xdr:cNvPr>
        <xdr:cNvSpPr>
          <a:spLocks noChangeAspect="1" noChangeArrowheads="1"/>
        </xdr:cNvSpPr>
      </xdr:nvSpPr>
      <xdr:spPr bwMode="auto">
        <a:xfrm>
          <a:off x="0" y="139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190500</xdr:colOff>
      <xdr:row>80</xdr:row>
      <xdr:rowOff>10583</xdr:rowOff>
    </xdr:to>
    <xdr:sp macro="" textlink="">
      <xdr:nvSpPr>
        <xdr:cNvPr id="1767" name="AutoShape 743" descr="Teamlogo">
          <a:extLst>
            <a:ext uri="{FF2B5EF4-FFF2-40B4-BE49-F238E27FC236}">
              <a16:creationId xmlns:a16="http://schemas.microsoft.com/office/drawing/2014/main" id="{C11A9FA2-8335-F639-3274-1FB15FBCBFA2}"/>
            </a:ext>
          </a:extLst>
        </xdr:cNvPr>
        <xdr:cNvSpPr>
          <a:spLocks noChangeAspect="1" noChangeArrowheads="1"/>
        </xdr:cNvSpPr>
      </xdr:nvSpPr>
      <xdr:spPr bwMode="auto">
        <a:xfrm>
          <a:off x="0" y="1463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190500</xdr:colOff>
      <xdr:row>83</xdr:row>
      <xdr:rowOff>10583</xdr:rowOff>
    </xdr:to>
    <xdr:sp macro="" textlink="">
      <xdr:nvSpPr>
        <xdr:cNvPr id="1768" name="AutoShape 744" descr="Teamlogo">
          <a:extLst>
            <a:ext uri="{FF2B5EF4-FFF2-40B4-BE49-F238E27FC236}">
              <a16:creationId xmlns:a16="http://schemas.microsoft.com/office/drawing/2014/main" id="{2920CA4C-FF1C-DE51-DB25-FFF40DB12CCA}"/>
            </a:ext>
          </a:extLst>
        </xdr:cNvPr>
        <xdr:cNvSpPr>
          <a:spLocks noChangeAspect="1" noChangeArrowheads="1"/>
        </xdr:cNvSpPr>
      </xdr:nvSpPr>
      <xdr:spPr bwMode="auto">
        <a:xfrm>
          <a:off x="0" y="15201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190500</xdr:colOff>
      <xdr:row>86</xdr:row>
      <xdr:rowOff>10583</xdr:rowOff>
    </xdr:to>
    <xdr:sp macro="" textlink="">
      <xdr:nvSpPr>
        <xdr:cNvPr id="1769" name="AutoShape 745" descr="Teamlogo">
          <a:extLst>
            <a:ext uri="{FF2B5EF4-FFF2-40B4-BE49-F238E27FC236}">
              <a16:creationId xmlns:a16="http://schemas.microsoft.com/office/drawing/2014/main" id="{5058DD09-E2B8-51BC-B6D2-F208753B6DFA}"/>
            </a:ext>
          </a:extLst>
        </xdr:cNvPr>
        <xdr:cNvSpPr>
          <a:spLocks noChangeAspect="1" noChangeArrowheads="1"/>
        </xdr:cNvSpPr>
      </xdr:nvSpPr>
      <xdr:spPr bwMode="auto">
        <a:xfrm>
          <a:off x="0" y="15773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190500</xdr:colOff>
      <xdr:row>89</xdr:row>
      <xdr:rowOff>10583</xdr:rowOff>
    </xdr:to>
    <xdr:sp macro="" textlink="">
      <xdr:nvSpPr>
        <xdr:cNvPr id="1770" name="AutoShape 746" descr="Teamlogo">
          <a:extLst>
            <a:ext uri="{FF2B5EF4-FFF2-40B4-BE49-F238E27FC236}">
              <a16:creationId xmlns:a16="http://schemas.microsoft.com/office/drawing/2014/main" id="{C8336E51-CD76-F850-3AAD-9B7BF43EA76B}"/>
            </a:ext>
          </a:extLst>
        </xdr:cNvPr>
        <xdr:cNvSpPr>
          <a:spLocks noChangeAspect="1" noChangeArrowheads="1"/>
        </xdr:cNvSpPr>
      </xdr:nvSpPr>
      <xdr:spPr bwMode="auto">
        <a:xfrm>
          <a:off x="0" y="16497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190500</xdr:colOff>
      <xdr:row>92</xdr:row>
      <xdr:rowOff>10583</xdr:rowOff>
    </xdr:to>
    <xdr:sp macro="" textlink="">
      <xdr:nvSpPr>
        <xdr:cNvPr id="1771" name="AutoShape 747" descr="Teamlogo">
          <a:extLst>
            <a:ext uri="{FF2B5EF4-FFF2-40B4-BE49-F238E27FC236}">
              <a16:creationId xmlns:a16="http://schemas.microsoft.com/office/drawing/2014/main" id="{750FE5FF-AD7E-092A-32DE-437461CB949F}"/>
            </a:ext>
          </a:extLst>
        </xdr:cNvPr>
        <xdr:cNvSpPr>
          <a:spLocks noChangeAspect="1" noChangeArrowheads="1"/>
        </xdr:cNvSpPr>
      </xdr:nvSpPr>
      <xdr:spPr bwMode="auto">
        <a:xfrm>
          <a:off x="0" y="1706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190500</xdr:colOff>
      <xdr:row>95</xdr:row>
      <xdr:rowOff>10583</xdr:rowOff>
    </xdr:to>
    <xdr:sp macro="" textlink="">
      <xdr:nvSpPr>
        <xdr:cNvPr id="1772" name="AutoShape 748" descr="Teamlogo">
          <a:extLst>
            <a:ext uri="{FF2B5EF4-FFF2-40B4-BE49-F238E27FC236}">
              <a16:creationId xmlns:a16="http://schemas.microsoft.com/office/drawing/2014/main" id="{9AEAA469-97E1-9479-C1B0-DA53E310F65D}"/>
            </a:ext>
          </a:extLst>
        </xdr:cNvPr>
        <xdr:cNvSpPr>
          <a:spLocks noChangeAspect="1" noChangeArrowheads="1"/>
        </xdr:cNvSpPr>
      </xdr:nvSpPr>
      <xdr:spPr bwMode="auto">
        <a:xfrm>
          <a:off x="0" y="17640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190500</xdr:colOff>
      <xdr:row>98</xdr:row>
      <xdr:rowOff>10583</xdr:rowOff>
    </xdr:to>
    <xdr:sp macro="" textlink="">
      <xdr:nvSpPr>
        <xdr:cNvPr id="1773" name="AutoShape 749" descr="Teamlogo">
          <a:extLst>
            <a:ext uri="{FF2B5EF4-FFF2-40B4-BE49-F238E27FC236}">
              <a16:creationId xmlns:a16="http://schemas.microsoft.com/office/drawing/2014/main" id="{3F342596-0F83-027C-8EFC-4845907510C4}"/>
            </a:ext>
          </a:extLst>
        </xdr:cNvPr>
        <xdr:cNvSpPr>
          <a:spLocks noChangeAspect="1" noChangeArrowheads="1"/>
        </xdr:cNvSpPr>
      </xdr:nvSpPr>
      <xdr:spPr bwMode="auto">
        <a:xfrm>
          <a:off x="0" y="1821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190500</xdr:colOff>
      <xdr:row>101</xdr:row>
      <xdr:rowOff>10583</xdr:rowOff>
    </xdr:to>
    <xdr:sp macro="" textlink="">
      <xdr:nvSpPr>
        <xdr:cNvPr id="1774" name="AutoShape 750" descr="Teamlogo">
          <a:extLst>
            <a:ext uri="{FF2B5EF4-FFF2-40B4-BE49-F238E27FC236}">
              <a16:creationId xmlns:a16="http://schemas.microsoft.com/office/drawing/2014/main" id="{20356F46-66A2-EDA2-A8E7-2E7DB6546CB0}"/>
            </a:ext>
          </a:extLst>
        </xdr:cNvPr>
        <xdr:cNvSpPr>
          <a:spLocks noChangeAspect="1" noChangeArrowheads="1"/>
        </xdr:cNvSpPr>
      </xdr:nvSpPr>
      <xdr:spPr bwMode="auto">
        <a:xfrm>
          <a:off x="0" y="18783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190500</xdr:colOff>
      <xdr:row>104</xdr:row>
      <xdr:rowOff>10583</xdr:rowOff>
    </xdr:to>
    <xdr:sp macro="" textlink="">
      <xdr:nvSpPr>
        <xdr:cNvPr id="1775" name="AutoShape 751" descr="Teamlogo">
          <a:extLst>
            <a:ext uri="{FF2B5EF4-FFF2-40B4-BE49-F238E27FC236}">
              <a16:creationId xmlns:a16="http://schemas.microsoft.com/office/drawing/2014/main" id="{8558A3BD-A75D-DBF6-B662-EBA3B4533F83}"/>
            </a:ext>
          </a:extLst>
        </xdr:cNvPr>
        <xdr:cNvSpPr>
          <a:spLocks noChangeAspect="1" noChangeArrowheads="1"/>
        </xdr:cNvSpPr>
      </xdr:nvSpPr>
      <xdr:spPr bwMode="auto">
        <a:xfrm>
          <a:off x="0" y="1935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190500</xdr:colOff>
      <xdr:row>107</xdr:row>
      <xdr:rowOff>10583</xdr:rowOff>
    </xdr:to>
    <xdr:sp macro="" textlink="">
      <xdr:nvSpPr>
        <xdr:cNvPr id="1776" name="AutoShape 752" descr="Teamlogo">
          <a:extLst>
            <a:ext uri="{FF2B5EF4-FFF2-40B4-BE49-F238E27FC236}">
              <a16:creationId xmlns:a16="http://schemas.microsoft.com/office/drawing/2014/main" id="{4D8466AA-97C5-AF21-5FA8-1AD6683B9D0E}"/>
            </a:ext>
          </a:extLst>
        </xdr:cNvPr>
        <xdr:cNvSpPr>
          <a:spLocks noChangeAspect="1" noChangeArrowheads="1"/>
        </xdr:cNvSpPr>
      </xdr:nvSpPr>
      <xdr:spPr bwMode="auto">
        <a:xfrm>
          <a:off x="0" y="19926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190500</xdr:colOff>
      <xdr:row>110</xdr:row>
      <xdr:rowOff>10583</xdr:rowOff>
    </xdr:to>
    <xdr:sp macro="" textlink="">
      <xdr:nvSpPr>
        <xdr:cNvPr id="1777" name="AutoShape 753" descr="Teamlogo">
          <a:extLst>
            <a:ext uri="{FF2B5EF4-FFF2-40B4-BE49-F238E27FC236}">
              <a16:creationId xmlns:a16="http://schemas.microsoft.com/office/drawing/2014/main" id="{0F34A50B-43F4-3F79-3519-045AD82E4D9C}"/>
            </a:ext>
          </a:extLst>
        </xdr:cNvPr>
        <xdr:cNvSpPr>
          <a:spLocks noChangeAspect="1" noChangeArrowheads="1"/>
        </xdr:cNvSpPr>
      </xdr:nvSpPr>
      <xdr:spPr bwMode="auto">
        <a:xfrm>
          <a:off x="0" y="2049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190500</xdr:colOff>
      <xdr:row>113</xdr:row>
      <xdr:rowOff>10583</xdr:rowOff>
    </xdr:to>
    <xdr:sp macro="" textlink="">
      <xdr:nvSpPr>
        <xdr:cNvPr id="1778" name="AutoShape 754" descr="Teamlogo">
          <a:extLst>
            <a:ext uri="{FF2B5EF4-FFF2-40B4-BE49-F238E27FC236}">
              <a16:creationId xmlns:a16="http://schemas.microsoft.com/office/drawing/2014/main" id="{4BC95E4B-D61C-3E04-FDBB-E1B0F5413DBD}"/>
            </a:ext>
          </a:extLst>
        </xdr:cNvPr>
        <xdr:cNvSpPr>
          <a:spLocks noChangeAspect="1" noChangeArrowheads="1"/>
        </xdr:cNvSpPr>
      </xdr:nvSpPr>
      <xdr:spPr bwMode="auto">
        <a:xfrm>
          <a:off x="0" y="21069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190500</xdr:colOff>
      <xdr:row>116</xdr:row>
      <xdr:rowOff>10583</xdr:rowOff>
    </xdr:to>
    <xdr:sp macro="" textlink="">
      <xdr:nvSpPr>
        <xdr:cNvPr id="1779" name="AutoShape 755" descr="Teamlogo">
          <a:extLst>
            <a:ext uri="{FF2B5EF4-FFF2-40B4-BE49-F238E27FC236}">
              <a16:creationId xmlns:a16="http://schemas.microsoft.com/office/drawing/2014/main" id="{EE42EA06-6629-BD39-03C1-0B4D283EE8F5}"/>
            </a:ext>
          </a:extLst>
        </xdr:cNvPr>
        <xdr:cNvSpPr>
          <a:spLocks noChangeAspect="1" noChangeArrowheads="1"/>
        </xdr:cNvSpPr>
      </xdr:nvSpPr>
      <xdr:spPr bwMode="auto">
        <a:xfrm>
          <a:off x="0" y="2164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190500</xdr:colOff>
      <xdr:row>119</xdr:row>
      <xdr:rowOff>10583</xdr:rowOff>
    </xdr:to>
    <xdr:sp macro="" textlink="">
      <xdr:nvSpPr>
        <xdr:cNvPr id="1780" name="AutoShape 756" descr="Teamlogo">
          <a:extLst>
            <a:ext uri="{FF2B5EF4-FFF2-40B4-BE49-F238E27FC236}">
              <a16:creationId xmlns:a16="http://schemas.microsoft.com/office/drawing/2014/main" id="{D7AB5817-82EA-7B42-C668-8726C4BBA233}"/>
            </a:ext>
          </a:extLst>
        </xdr:cNvPr>
        <xdr:cNvSpPr>
          <a:spLocks noChangeAspect="1" noChangeArrowheads="1"/>
        </xdr:cNvSpPr>
      </xdr:nvSpPr>
      <xdr:spPr bwMode="auto">
        <a:xfrm>
          <a:off x="0" y="22212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190500</xdr:colOff>
      <xdr:row>122</xdr:row>
      <xdr:rowOff>10583</xdr:rowOff>
    </xdr:to>
    <xdr:sp macro="" textlink="">
      <xdr:nvSpPr>
        <xdr:cNvPr id="1781" name="AutoShape 757" descr="Teamlogo">
          <a:extLst>
            <a:ext uri="{FF2B5EF4-FFF2-40B4-BE49-F238E27FC236}">
              <a16:creationId xmlns:a16="http://schemas.microsoft.com/office/drawing/2014/main" id="{6F8DC2E0-814E-A45F-DD3F-A00243952D29}"/>
            </a:ext>
          </a:extLst>
        </xdr:cNvPr>
        <xdr:cNvSpPr>
          <a:spLocks noChangeAspect="1" noChangeArrowheads="1"/>
        </xdr:cNvSpPr>
      </xdr:nvSpPr>
      <xdr:spPr bwMode="auto">
        <a:xfrm>
          <a:off x="0" y="2293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190500</xdr:colOff>
      <xdr:row>125</xdr:row>
      <xdr:rowOff>10583</xdr:rowOff>
    </xdr:to>
    <xdr:sp macro="" textlink="">
      <xdr:nvSpPr>
        <xdr:cNvPr id="1782" name="AutoShape 758" descr="Teamlogo">
          <a:extLst>
            <a:ext uri="{FF2B5EF4-FFF2-40B4-BE49-F238E27FC236}">
              <a16:creationId xmlns:a16="http://schemas.microsoft.com/office/drawing/2014/main" id="{E96D1599-1B43-1ED2-29D8-70A610C4E174}"/>
            </a:ext>
          </a:extLst>
        </xdr:cNvPr>
        <xdr:cNvSpPr>
          <a:spLocks noChangeAspect="1" noChangeArrowheads="1"/>
        </xdr:cNvSpPr>
      </xdr:nvSpPr>
      <xdr:spPr bwMode="auto">
        <a:xfrm>
          <a:off x="0" y="23507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190500</xdr:colOff>
      <xdr:row>128</xdr:row>
      <xdr:rowOff>10583</xdr:rowOff>
    </xdr:to>
    <xdr:sp macro="" textlink="">
      <xdr:nvSpPr>
        <xdr:cNvPr id="1783" name="AutoShape 759" descr="Teamlogo">
          <a:extLst>
            <a:ext uri="{FF2B5EF4-FFF2-40B4-BE49-F238E27FC236}">
              <a16:creationId xmlns:a16="http://schemas.microsoft.com/office/drawing/2014/main" id="{F773A941-CD85-3B3F-08E1-29FFF47B700F}"/>
            </a:ext>
          </a:extLst>
        </xdr:cNvPr>
        <xdr:cNvSpPr>
          <a:spLocks noChangeAspect="1" noChangeArrowheads="1"/>
        </xdr:cNvSpPr>
      </xdr:nvSpPr>
      <xdr:spPr bwMode="auto">
        <a:xfrm>
          <a:off x="0" y="2407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190500</xdr:colOff>
      <xdr:row>131</xdr:row>
      <xdr:rowOff>10583</xdr:rowOff>
    </xdr:to>
    <xdr:sp macro="" textlink="">
      <xdr:nvSpPr>
        <xdr:cNvPr id="1784" name="AutoShape 760" descr="Teamlogo">
          <a:extLst>
            <a:ext uri="{FF2B5EF4-FFF2-40B4-BE49-F238E27FC236}">
              <a16:creationId xmlns:a16="http://schemas.microsoft.com/office/drawing/2014/main" id="{BD1CD972-FA4E-E9F5-4B39-95E7E276E1A1}"/>
            </a:ext>
          </a:extLst>
        </xdr:cNvPr>
        <xdr:cNvSpPr>
          <a:spLocks noChangeAspect="1" noChangeArrowheads="1"/>
        </xdr:cNvSpPr>
      </xdr:nvSpPr>
      <xdr:spPr bwMode="auto">
        <a:xfrm>
          <a:off x="0" y="24650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190500</xdr:colOff>
      <xdr:row>134</xdr:row>
      <xdr:rowOff>10583</xdr:rowOff>
    </xdr:to>
    <xdr:sp macro="" textlink="">
      <xdr:nvSpPr>
        <xdr:cNvPr id="1785" name="AutoShape 761" descr="Teamlogo">
          <a:extLst>
            <a:ext uri="{FF2B5EF4-FFF2-40B4-BE49-F238E27FC236}">
              <a16:creationId xmlns:a16="http://schemas.microsoft.com/office/drawing/2014/main" id="{C4E5EED8-71E0-A403-9A99-99F00E78BF74}"/>
            </a:ext>
          </a:extLst>
        </xdr:cNvPr>
        <xdr:cNvSpPr>
          <a:spLocks noChangeAspect="1" noChangeArrowheads="1"/>
        </xdr:cNvSpPr>
      </xdr:nvSpPr>
      <xdr:spPr bwMode="auto">
        <a:xfrm>
          <a:off x="0" y="2522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190500</xdr:colOff>
      <xdr:row>137</xdr:row>
      <xdr:rowOff>10583</xdr:rowOff>
    </xdr:to>
    <xdr:sp macro="" textlink="">
      <xdr:nvSpPr>
        <xdr:cNvPr id="1786" name="AutoShape 762" descr="Teamlogo">
          <a:extLst>
            <a:ext uri="{FF2B5EF4-FFF2-40B4-BE49-F238E27FC236}">
              <a16:creationId xmlns:a16="http://schemas.microsoft.com/office/drawing/2014/main" id="{A8868E37-DF0D-B2C7-DE18-CBF147973C35}"/>
            </a:ext>
          </a:extLst>
        </xdr:cNvPr>
        <xdr:cNvSpPr>
          <a:spLocks noChangeAspect="1" noChangeArrowheads="1"/>
        </xdr:cNvSpPr>
      </xdr:nvSpPr>
      <xdr:spPr bwMode="auto">
        <a:xfrm>
          <a:off x="0" y="25793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190500</xdr:colOff>
      <xdr:row>140</xdr:row>
      <xdr:rowOff>10583</xdr:rowOff>
    </xdr:to>
    <xdr:sp macro="" textlink="">
      <xdr:nvSpPr>
        <xdr:cNvPr id="1787" name="AutoShape 763" descr="Teamlogo">
          <a:extLst>
            <a:ext uri="{FF2B5EF4-FFF2-40B4-BE49-F238E27FC236}">
              <a16:creationId xmlns:a16="http://schemas.microsoft.com/office/drawing/2014/main" id="{4FFF6C00-9D61-2620-859E-760E2B3264AF}"/>
            </a:ext>
          </a:extLst>
        </xdr:cNvPr>
        <xdr:cNvSpPr>
          <a:spLocks noChangeAspect="1" noChangeArrowheads="1"/>
        </xdr:cNvSpPr>
      </xdr:nvSpPr>
      <xdr:spPr bwMode="auto">
        <a:xfrm>
          <a:off x="0" y="2636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190500</xdr:colOff>
      <xdr:row>143</xdr:row>
      <xdr:rowOff>10583</xdr:rowOff>
    </xdr:to>
    <xdr:sp macro="" textlink="">
      <xdr:nvSpPr>
        <xdr:cNvPr id="1788" name="AutoShape 764" descr="Teamlogo">
          <a:extLst>
            <a:ext uri="{FF2B5EF4-FFF2-40B4-BE49-F238E27FC236}">
              <a16:creationId xmlns:a16="http://schemas.microsoft.com/office/drawing/2014/main" id="{9F4975A5-5FED-92DF-4647-6862B6E1873D}"/>
            </a:ext>
          </a:extLst>
        </xdr:cNvPr>
        <xdr:cNvSpPr>
          <a:spLocks noChangeAspect="1" noChangeArrowheads="1"/>
        </xdr:cNvSpPr>
      </xdr:nvSpPr>
      <xdr:spPr bwMode="auto">
        <a:xfrm>
          <a:off x="0" y="26936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190500</xdr:colOff>
      <xdr:row>146</xdr:row>
      <xdr:rowOff>10583</xdr:rowOff>
    </xdr:to>
    <xdr:sp macro="" textlink="">
      <xdr:nvSpPr>
        <xdr:cNvPr id="1789" name="AutoShape 765" descr="Teamlogo">
          <a:extLst>
            <a:ext uri="{FF2B5EF4-FFF2-40B4-BE49-F238E27FC236}">
              <a16:creationId xmlns:a16="http://schemas.microsoft.com/office/drawing/2014/main" id="{441E851B-C5DA-EA99-768C-3860E2870059}"/>
            </a:ext>
          </a:extLst>
        </xdr:cNvPr>
        <xdr:cNvSpPr>
          <a:spLocks noChangeAspect="1" noChangeArrowheads="1"/>
        </xdr:cNvSpPr>
      </xdr:nvSpPr>
      <xdr:spPr bwMode="auto">
        <a:xfrm>
          <a:off x="0" y="2750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190500</xdr:colOff>
      <xdr:row>149</xdr:row>
      <xdr:rowOff>10583</xdr:rowOff>
    </xdr:to>
    <xdr:sp macro="" textlink="">
      <xdr:nvSpPr>
        <xdr:cNvPr id="1790" name="AutoShape 766" descr="Teamlogo">
          <a:extLst>
            <a:ext uri="{FF2B5EF4-FFF2-40B4-BE49-F238E27FC236}">
              <a16:creationId xmlns:a16="http://schemas.microsoft.com/office/drawing/2014/main" id="{5179B627-227E-FEB2-B512-F03AD0199B63}"/>
            </a:ext>
          </a:extLst>
        </xdr:cNvPr>
        <xdr:cNvSpPr>
          <a:spLocks noChangeAspect="1" noChangeArrowheads="1"/>
        </xdr:cNvSpPr>
      </xdr:nvSpPr>
      <xdr:spPr bwMode="auto">
        <a:xfrm>
          <a:off x="0" y="28079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190500</xdr:colOff>
      <xdr:row>152</xdr:row>
      <xdr:rowOff>10583</xdr:rowOff>
    </xdr:to>
    <xdr:sp macro="" textlink="">
      <xdr:nvSpPr>
        <xdr:cNvPr id="1791" name="AutoShape 767" descr="Teamlogo">
          <a:extLst>
            <a:ext uri="{FF2B5EF4-FFF2-40B4-BE49-F238E27FC236}">
              <a16:creationId xmlns:a16="http://schemas.microsoft.com/office/drawing/2014/main" id="{EB6B24A9-A7A5-1A0B-4D41-8235BBC9F626}"/>
            </a:ext>
          </a:extLst>
        </xdr:cNvPr>
        <xdr:cNvSpPr>
          <a:spLocks noChangeAspect="1" noChangeArrowheads="1"/>
        </xdr:cNvSpPr>
      </xdr:nvSpPr>
      <xdr:spPr bwMode="auto">
        <a:xfrm>
          <a:off x="0" y="2865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190500</xdr:colOff>
      <xdr:row>155</xdr:row>
      <xdr:rowOff>10583</xdr:rowOff>
    </xdr:to>
    <xdr:sp macro="" textlink="">
      <xdr:nvSpPr>
        <xdr:cNvPr id="1792" name="AutoShape 768" descr="Teamlogo">
          <a:extLst>
            <a:ext uri="{FF2B5EF4-FFF2-40B4-BE49-F238E27FC236}">
              <a16:creationId xmlns:a16="http://schemas.microsoft.com/office/drawing/2014/main" id="{C70C4A10-F9A7-A777-110A-BA75ED0056CE}"/>
            </a:ext>
          </a:extLst>
        </xdr:cNvPr>
        <xdr:cNvSpPr>
          <a:spLocks noChangeAspect="1" noChangeArrowheads="1"/>
        </xdr:cNvSpPr>
      </xdr:nvSpPr>
      <xdr:spPr bwMode="auto">
        <a:xfrm>
          <a:off x="0" y="29222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190500</xdr:colOff>
      <xdr:row>158</xdr:row>
      <xdr:rowOff>10583</xdr:rowOff>
    </xdr:to>
    <xdr:sp macro="" textlink="">
      <xdr:nvSpPr>
        <xdr:cNvPr id="1793" name="AutoShape 769" descr="Teamlogo">
          <a:extLst>
            <a:ext uri="{FF2B5EF4-FFF2-40B4-BE49-F238E27FC236}">
              <a16:creationId xmlns:a16="http://schemas.microsoft.com/office/drawing/2014/main" id="{963E2214-BF50-2593-3955-685A196DC82C}"/>
            </a:ext>
          </a:extLst>
        </xdr:cNvPr>
        <xdr:cNvSpPr>
          <a:spLocks noChangeAspect="1" noChangeArrowheads="1"/>
        </xdr:cNvSpPr>
      </xdr:nvSpPr>
      <xdr:spPr bwMode="auto">
        <a:xfrm>
          <a:off x="0" y="2979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190500</xdr:colOff>
      <xdr:row>161</xdr:row>
      <xdr:rowOff>10583</xdr:rowOff>
    </xdr:to>
    <xdr:sp macro="" textlink="">
      <xdr:nvSpPr>
        <xdr:cNvPr id="1794" name="AutoShape 770" descr="Teamlogo">
          <a:extLst>
            <a:ext uri="{FF2B5EF4-FFF2-40B4-BE49-F238E27FC236}">
              <a16:creationId xmlns:a16="http://schemas.microsoft.com/office/drawing/2014/main" id="{3BD3F319-B4E9-3EA0-6638-5A02EA5D7039}"/>
            </a:ext>
          </a:extLst>
        </xdr:cNvPr>
        <xdr:cNvSpPr>
          <a:spLocks noChangeAspect="1" noChangeArrowheads="1"/>
        </xdr:cNvSpPr>
      </xdr:nvSpPr>
      <xdr:spPr bwMode="auto">
        <a:xfrm>
          <a:off x="0" y="30365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190500</xdr:colOff>
      <xdr:row>164</xdr:row>
      <xdr:rowOff>10583</xdr:rowOff>
    </xdr:to>
    <xdr:sp macro="" textlink="">
      <xdr:nvSpPr>
        <xdr:cNvPr id="1795" name="AutoShape 771" descr="Teamlogo">
          <a:extLst>
            <a:ext uri="{FF2B5EF4-FFF2-40B4-BE49-F238E27FC236}">
              <a16:creationId xmlns:a16="http://schemas.microsoft.com/office/drawing/2014/main" id="{3724EBDA-1B9F-3F93-3945-96B15AFDD551}"/>
            </a:ext>
          </a:extLst>
        </xdr:cNvPr>
        <xdr:cNvSpPr>
          <a:spLocks noChangeAspect="1" noChangeArrowheads="1"/>
        </xdr:cNvSpPr>
      </xdr:nvSpPr>
      <xdr:spPr bwMode="auto">
        <a:xfrm>
          <a:off x="0" y="3093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190500</xdr:colOff>
      <xdr:row>167</xdr:row>
      <xdr:rowOff>10583</xdr:rowOff>
    </xdr:to>
    <xdr:sp macro="" textlink="">
      <xdr:nvSpPr>
        <xdr:cNvPr id="1796" name="AutoShape 772" descr="Teamlogo">
          <a:extLst>
            <a:ext uri="{FF2B5EF4-FFF2-40B4-BE49-F238E27FC236}">
              <a16:creationId xmlns:a16="http://schemas.microsoft.com/office/drawing/2014/main" id="{7D67AF89-2E42-0E9C-3FB7-8A765006B644}"/>
            </a:ext>
          </a:extLst>
        </xdr:cNvPr>
        <xdr:cNvSpPr>
          <a:spLocks noChangeAspect="1" noChangeArrowheads="1"/>
        </xdr:cNvSpPr>
      </xdr:nvSpPr>
      <xdr:spPr bwMode="auto">
        <a:xfrm>
          <a:off x="0" y="31508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190500</xdr:colOff>
      <xdr:row>170</xdr:row>
      <xdr:rowOff>10583</xdr:rowOff>
    </xdr:to>
    <xdr:sp macro="" textlink="">
      <xdr:nvSpPr>
        <xdr:cNvPr id="1797" name="AutoShape 773" descr="Teamlogo">
          <a:extLst>
            <a:ext uri="{FF2B5EF4-FFF2-40B4-BE49-F238E27FC236}">
              <a16:creationId xmlns:a16="http://schemas.microsoft.com/office/drawing/2014/main" id="{6E080378-A690-B296-C924-FDE470C6C0F6}"/>
            </a:ext>
          </a:extLst>
        </xdr:cNvPr>
        <xdr:cNvSpPr>
          <a:spLocks noChangeAspect="1" noChangeArrowheads="1"/>
        </xdr:cNvSpPr>
      </xdr:nvSpPr>
      <xdr:spPr bwMode="auto">
        <a:xfrm>
          <a:off x="0" y="3208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190500</xdr:colOff>
      <xdr:row>173</xdr:row>
      <xdr:rowOff>10583</xdr:rowOff>
    </xdr:to>
    <xdr:sp macro="" textlink="">
      <xdr:nvSpPr>
        <xdr:cNvPr id="1798" name="AutoShape 774" descr="Teamlogo">
          <a:extLst>
            <a:ext uri="{FF2B5EF4-FFF2-40B4-BE49-F238E27FC236}">
              <a16:creationId xmlns:a16="http://schemas.microsoft.com/office/drawing/2014/main" id="{4DC90AD3-BA19-C496-F969-55461F2E208A}"/>
            </a:ext>
          </a:extLst>
        </xdr:cNvPr>
        <xdr:cNvSpPr>
          <a:spLocks noChangeAspect="1" noChangeArrowheads="1"/>
        </xdr:cNvSpPr>
      </xdr:nvSpPr>
      <xdr:spPr bwMode="auto">
        <a:xfrm>
          <a:off x="0" y="32651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190500</xdr:colOff>
      <xdr:row>176</xdr:row>
      <xdr:rowOff>10583</xdr:rowOff>
    </xdr:to>
    <xdr:sp macro="" textlink="">
      <xdr:nvSpPr>
        <xdr:cNvPr id="1799" name="AutoShape 775" descr="Teamlogo">
          <a:extLst>
            <a:ext uri="{FF2B5EF4-FFF2-40B4-BE49-F238E27FC236}">
              <a16:creationId xmlns:a16="http://schemas.microsoft.com/office/drawing/2014/main" id="{E01BD7DD-DD46-CB66-C14C-EC4DA395D930}"/>
            </a:ext>
          </a:extLst>
        </xdr:cNvPr>
        <xdr:cNvSpPr>
          <a:spLocks noChangeAspect="1" noChangeArrowheads="1"/>
        </xdr:cNvSpPr>
      </xdr:nvSpPr>
      <xdr:spPr bwMode="auto">
        <a:xfrm>
          <a:off x="0" y="3322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190500</xdr:colOff>
      <xdr:row>179</xdr:row>
      <xdr:rowOff>10583</xdr:rowOff>
    </xdr:to>
    <xdr:sp macro="" textlink="">
      <xdr:nvSpPr>
        <xdr:cNvPr id="1800" name="AutoShape 776" descr="Teamlogo">
          <a:extLst>
            <a:ext uri="{FF2B5EF4-FFF2-40B4-BE49-F238E27FC236}">
              <a16:creationId xmlns:a16="http://schemas.microsoft.com/office/drawing/2014/main" id="{F3F0083C-7418-F181-8024-DA8C71D0481B}"/>
            </a:ext>
          </a:extLst>
        </xdr:cNvPr>
        <xdr:cNvSpPr>
          <a:spLocks noChangeAspect="1" noChangeArrowheads="1"/>
        </xdr:cNvSpPr>
      </xdr:nvSpPr>
      <xdr:spPr bwMode="auto">
        <a:xfrm>
          <a:off x="0" y="33794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190500</xdr:colOff>
      <xdr:row>182</xdr:row>
      <xdr:rowOff>10583</xdr:rowOff>
    </xdr:to>
    <xdr:sp macro="" textlink="">
      <xdr:nvSpPr>
        <xdr:cNvPr id="1801" name="AutoShape 777" descr="Teamlogo">
          <a:extLst>
            <a:ext uri="{FF2B5EF4-FFF2-40B4-BE49-F238E27FC236}">
              <a16:creationId xmlns:a16="http://schemas.microsoft.com/office/drawing/2014/main" id="{99297CE3-EE79-CEB4-E685-1FB6C129FF12}"/>
            </a:ext>
          </a:extLst>
        </xdr:cNvPr>
        <xdr:cNvSpPr>
          <a:spLocks noChangeAspect="1" noChangeArrowheads="1"/>
        </xdr:cNvSpPr>
      </xdr:nvSpPr>
      <xdr:spPr bwMode="auto">
        <a:xfrm>
          <a:off x="0" y="3436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190500</xdr:colOff>
      <xdr:row>185</xdr:row>
      <xdr:rowOff>10583</xdr:rowOff>
    </xdr:to>
    <xdr:sp macro="" textlink="">
      <xdr:nvSpPr>
        <xdr:cNvPr id="1802" name="AutoShape 778" descr="Teamlogo">
          <a:extLst>
            <a:ext uri="{FF2B5EF4-FFF2-40B4-BE49-F238E27FC236}">
              <a16:creationId xmlns:a16="http://schemas.microsoft.com/office/drawing/2014/main" id="{F018D761-402E-2DCF-5689-053940A3C056}"/>
            </a:ext>
          </a:extLst>
        </xdr:cNvPr>
        <xdr:cNvSpPr>
          <a:spLocks noChangeAspect="1" noChangeArrowheads="1"/>
        </xdr:cNvSpPr>
      </xdr:nvSpPr>
      <xdr:spPr bwMode="auto">
        <a:xfrm>
          <a:off x="0" y="34937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190500</xdr:colOff>
      <xdr:row>188</xdr:row>
      <xdr:rowOff>10583</xdr:rowOff>
    </xdr:to>
    <xdr:sp macro="" textlink="">
      <xdr:nvSpPr>
        <xdr:cNvPr id="1803" name="AutoShape 779" descr="Teamlogo">
          <a:extLst>
            <a:ext uri="{FF2B5EF4-FFF2-40B4-BE49-F238E27FC236}">
              <a16:creationId xmlns:a16="http://schemas.microsoft.com/office/drawing/2014/main" id="{3D109866-96A9-6728-888C-61B642C5A653}"/>
            </a:ext>
          </a:extLst>
        </xdr:cNvPr>
        <xdr:cNvSpPr>
          <a:spLocks noChangeAspect="1" noChangeArrowheads="1"/>
        </xdr:cNvSpPr>
      </xdr:nvSpPr>
      <xdr:spPr bwMode="auto">
        <a:xfrm>
          <a:off x="0" y="3550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190500</xdr:colOff>
      <xdr:row>191</xdr:row>
      <xdr:rowOff>10583</xdr:rowOff>
    </xdr:to>
    <xdr:sp macro="" textlink="">
      <xdr:nvSpPr>
        <xdr:cNvPr id="1804" name="AutoShape 780" descr="Teamlogo">
          <a:extLst>
            <a:ext uri="{FF2B5EF4-FFF2-40B4-BE49-F238E27FC236}">
              <a16:creationId xmlns:a16="http://schemas.microsoft.com/office/drawing/2014/main" id="{1C79BF00-8C49-AE23-6A89-8DD6782F43D7}"/>
            </a:ext>
          </a:extLst>
        </xdr:cNvPr>
        <xdr:cNvSpPr>
          <a:spLocks noChangeAspect="1" noChangeArrowheads="1"/>
        </xdr:cNvSpPr>
      </xdr:nvSpPr>
      <xdr:spPr bwMode="auto">
        <a:xfrm>
          <a:off x="0" y="36080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190500</xdr:colOff>
      <xdr:row>194</xdr:row>
      <xdr:rowOff>10583</xdr:rowOff>
    </xdr:to>
    <xdr:sp macro="" textlink="">
      <xdr:nvSpPr>
        <xdr:cNvPr id="1805" name="AutoShape 781" descr="Teamlogo">
          <a:extLst>
            <a:ext uri="{FF2B5EF4-FFF2-40B4-BE49-F238E27FC236}">
              <a16:creationId xmlns:a16="http://schemas.microsoft.com/office/drawing/2014/main" id="{5FF2107D-5514-FFBD-97A7-F5854CEE949C}"/>
            </a:ext>
          </a:extLst>
        </xdr:cNvPr>
        <xdr:cNvSpPr>
          <a:spLocks noChangeAspect="1" noChangeArrowheads="1"/>
        </xdr:cNvSpPr>
      </xdr:nvSpPr>
      <xdr:spPr bwMode="auto">
        <a:xfrm>
          <a:off x="0" y="3665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190500</xdr:colOff>
      <xdr:row>197</xdr:row>
      <xdr:rowOff>10583</xdr:rowOff>
    </xdr:to>
    <xdr:sp macro="" textlink="">
      <xdr:nvSpPr>
        <xdr:cNvPr id="1806" name="AutoShape 782" descr="Teamlogo">
          <a:extLst>
            <a:ext uri="{FF2B5EF4-FFF2-40B4-BE49-F238E27FC236}">
              <a16:creationId xmlns:a16="http://schemas.microsoft.com/office/drawing/2014/main" id="{EC25E13D-37B9-C314-2DCF-C275347A6F25}"/>
            </a:ext>
          </a:extLst>
        </xdr:cNvPr>
        <xdr:cNvSpPr>
          <a:spLocks noChangeAspect="1" noChangeArrowheads="1"/>
        </xdr:cNvSpPr>
      </xdr:nvSpPr>
      <xdr:spPr bwMode="auto">
        <a:xfrm>
          <a:off x="0" y="37223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190500</xdr:colOff>
      <xdr:row>200</xdr:row>
      <xdr:rowOff>10583</xdr:rowOff>
    </xdr:to>
    <xdr:sp macro="" textlink="">
      <xdr:nvSpPr>
        <xdr:cNvPr id="1807" name="AutoShape 783" descr="Teamlogo">
          <a:extLst>
            <a:ext uri="{FF2B5EF4-FFF2-40B4-BE49-F238E27FC236}">
              <a16:creationId xmlns:a16="http://schemas.microsoft.com/office/drawing/2014/main" id="{B4DD308D-727F-8517-7E4D-207E844F95FE}"/>
            </a:ext>
          </a:extLst>
        </xdr:cNvPr>
        <xdr:cNvSpPr>
          <a:spLocks noChangeAspect="1" noChangeArrowheads="1"/>
        </xdr:cNvSpPr>
      </xdr:nvSpPr>
      <xdr:spPr bwMode="auto">
        <a:xfrm>
          <a:off x="0" y="3779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190500</xdr:colOff>
      <xdr:row>203</xdr:row>
      <xdr:rowOff>10583</xdr:rowOff>
    </xdr:to>
    <xdr:sp macro="" textlink="">
      <xdr:nvSpPr>
        <xdr:cNvPr id="1808" name="AutoShape 784" descr="Teamlogo">
          <a:extLst>
            <a:ext uri="{FF2B5EF4-FFF2-40B4-BE49-F238E27FC236}">
              <a16:creationId xmlns:a16="http://schemas.microsoft.com/office/drawing/2014/main" id="{427E1CD3-A1B3-D819-97DC-40E4FAC6F4EF}"/>
            </a:ext>
          </a:extLst>
        </xdr:cNvPr>
        <xdr:cNvSpPr>
          <a:spLocks noChangeAspect="1" noChangeArrowheads="1"/>
        </xdr:cNvSpPr>
      </xdr:nvSpPr>
      <xdr:spPr bwMode="auto">
        <a:xfrm>
          <a:off x="0" y="38366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190500</xdr:colOff>
      <xdr:row>206</xdr:row>
      <xdr:rowOff>10583</xdr:rowOff>
    </xdr:to>
    <xdr:sp macro="" textlink="">
      <xdr:nvSpPr>
        <xdr:cNvPr id="1809" name="AutoShape 785" descr="Teamlogo">
          <a:extLst>
            <a:ext uri="{FF2B5EF4-FFF2-40B4-BE49-F238E27FC236}">
              <a16:creationId xmlns:a16="http://schemas.microsoft.com/office/drawing/2014/main" id="{AF32793E-C740-78A6-2F93-754326C99710}"/>
            </a:ext>
          </a:extLst>
        </xdr:cNvPr>
        <xdr:cNvSpPr>
          <a:spLocks noChangeAspect="1" noChangeArrowheads="1"/>
        </xdr:cNvSpPr>
      </xdr:nvSpPr>
      <xdr:spPr bwMode="auto">
        <a:xfrm>
          <a:off x="0" y="3893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190500</xdr:colOff>
      <xdr:row>209</xdr:row>
      <xdr:rowOff>10583</xdr:rowOff>
    </xdr:to>
    <xdr:sp macro="" textlink="">
      <xdr:nvSpPr>
        <xdr:cNvPr id="1810" name="AutoShape 786" descr="Teamlogo">
          <a:extLst>
            <a:ext uri="{FF2B5EF4-FFF2-40B4-BE49-F238E27FC236}">
              <a16:creationId xmlns:a16="http://schemas.microsoft.com/office/drawing/2014/main" id="{1A1E601E-1E01-8685-EB54-A5FB32016ADD}"/>
            </a:ext>
          </a:extLst>
        </xdr:cNvPr>
        <xdr:cNvSpPr>
          <a:spLocks noChangeAspect="1" noChangeArrowheads="1"/>
        </xdr:cNvSpPr>
      </xdr:nvSpPr>
      <xdr:spPr bwMode="auto">
        <a:xfrm>
          <a:off x="0" y="39509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190500</xdr:colOff>
      <xdr:row>212</xdr:row>
      <xdr:rowOff>10583</xdr:rowOff>
    </xdr:to>
    <xdr:sp macro="" textlink="">
      <xdr:nvSpPr>
        <xdr:cNvPr id="1811" name="AutoShape 787" descr="Teamlogo">
          <a:extLst>
            <a:ext uri="{FF2B5EF4-FFF2-40B4-BE49-F238E27FC236}">
              <a16:creationId xmlns:a16="http://schemas.microsoft.com/office/drawing/2014/main" id="{D78534EE-8902-DEF9-02F1-E31A3812CB99}"/>
            </a:ext>
          </a:extLst>
        </xdr:cNvPr>
        <xdr:cNvSpPr>
          <a:spLocks noChangeAspect="1" noChangeArrowheads="1"/>
        </xdr:cNvSpPr>
      </xdr:nvSpPr>
      <xdr:spPr bwMode="auto">
        <a:xfrm>
          <a:off x="0" y="4008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190500</xdr:colOff>
      <xdr:row>215</xdr:row>
      <xdr:rowOff>10583</xdr:rowOff>
    </xdr:to>
    <xdr:sp macro="" textlink="">
      <xdr:nvSpPr>
        <xdr:cNvPr id="1812" name="AutoShape 788" descr="Teamlogo">
          <a:extLst>
            <a:ext uri="{FF2B5EF4-FFF2-40B4-BE49-F238E27FC236}">
              <a16:creationId xmlns:a16="http://schemas.microsoft.com/office/drawing/2014/main" id="{BA7CD667-A203-AED7-CF11-91CEBCA0187B}"/>
            </a:ext>
          </a:extLst>
        </xdr:cNvPr>
        <xdr:cNvSpPr>
          <a:spLocks noChangeAspect="1" noChangeArrowheads="1"/>
        </xdr:cNvSpPr>
      </xdr:nvSpPr>
      <xdr:spPr bwMode="auto">
        <a:xfrm>
          <a:off x="0" y="40652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190500</xdr:colOff>
      <xdr:row>218</xdr:row>
      <xdr:rowOff>10583</xdr:rowOff>
    </xdr:to>
    <xdr:sp macro="" textlink="">
      <xdr:nvSpPr>
        <xdr:cNvPr id="1813" name="AutoShape 789" descr="Teamlogo">
          <a:extLst>
            <a:ext uri="{FF2B5EF4-FFF2-40B4-BE49-F238E27FC236}">
              <a16:creationId xmlns:a16="http://schemas.microsoft.com/office/drawing/2014/main" id="{E9DB0B99-53C4-C46C-FD27-9474F048B10F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190500</xdr:colOff>
      <xdr:row>221</xdr:row>
      <xdr:rowOff>10583</xdr:rowOff>
    </xdr:to>
    <xdr:sp macro="" textlink="">
      <xdr:nvSpPr>
        <xdr:cNvPr id="1814" name="AutoShape 790" descr="Teamlogo">
          <a:extLst>
            <a:ext uri="{FF2B5EF4-FFF2-40B4-BE49-F238E27FC236}">
              <a16:creationId xmlns:a16="http://schemas.microsoft.com/office/drawing/2014/main" id="{D9CF295D-EA1C-5FA2-520B-A5322FE227C2}"/>
            </a:ext>
          </a:extLst>
        </xdr:cNvPr>
        <xdr:cNvSpPr>
          <a:spLocks noChangeAspect="1" noChangeArrowheads="1"/>
        </xdr:cNvSpPr>
      </xdr:nvSpPr>
      <xdr:spPr bwMode="auto">
        <a:xfrm>
          <a:off x="0" y="41795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190500</xdr:colOff>
      <xdr:row>224</xdr:row>
      <xdr:rowOff>10583</xdr:rowOff>
    </xdr:to>
    <xdr:sp macro="" textlink="">
      <xdr:nvSpPr>
        <xdr:cNvPr id="1815" name="AutoShape 791" descr="Teamlogo">
          <a:extLst>
            <a:ext uri="{FF2B5EF4-FFF2-40B4-BE49-F238E27FC236}">
              <a16:creationId xmlns:a16="http://schemas.microsoft.com/office/drawing/2014/main" id="{27E719AC-24C0-7E61-19ED-F948B077059D}"/>
            </a:ext>
          </a:extLst>
        </xdr:cNvPr>
        <xdr:cNvSpPr>
          <a:spLocks noChangeAspect="1" noChangeArrowheads="1"/>
        </xdr:cNvSpPr>
      </xdr:nvSpPr>
      <xdr:spPr bwMode="auto">
        <a:xfrm>
          <a:off x="0" y="425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190500</xdr:colOff>
      <xdr:row>227</xdr:row>
      <xdr:rowOff>10583</xdr:rowOff>
    </xdr:to>
    <xdr:sp macro="" textlink="">
      <xdr:nvSpPr>
        <xdr:cNvPr id="1816" name="AutoShape 792" descr="Teamlogo">
          <a:extLst>
            <a:ext uri="{FF2B5EF4-FFF2-40B4-BE49-F238E27FC236}">
              <a16:creationId xmlns:a16="http://schemas.microsoft.com/office/drawing/2014/main" id="{F24A7AC8-5A59-6BD0-5EEA-186DE556D12A}"/>
            </a:ext>
          </a:extLst>
        </xdr:cNvPr>
        <xdr:cNvSpPr>
          <a:spLocks noChangeAspect="1" noChangeArrowheads="1"/>
        </xdr:cNvSpPr>
      </xdr:nvSpPr>
      <xdr:spPr bwMode="auto">
        <a:xfrm>
          <a:off x="0" y="43091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190500</xdr:colOff>
      <xdr:row>230</xdr:row>
      <xdr:rowOff>10583</xdr:rowOff>
    </xdr:to>
    <xdr:sp macro="" textlink="">
      <xdr:nvSpPr>
        <xdr:cNvPr id="1817" name="AutoShape 793" descr="Teamlogo">
          <a:extLst>
            <a:ext uri="{FF2B5EF4-FFF2-40B4-BE49-F238E27FC236}">
              <a16:creationId xmlns:a16="http://schemas.microsoft.com/office/drawing/2014/main" id="{83A07A5B-E004-BD15-2C3F-032680797B04}"/>
            </a:ext>
          </a:extLst>
        </xdr:cNvPr>
        <xdr:cNvSpPr>
          <a:spLocks noChangeAspect="1" noChangeArrowheads="1"/>
        </xdr:cNvSpPr>
      </xdr:nvSpPr>
      <xdr:spPr bwMode="auto">
        <a:xfrm>
          <a:off x="0" y="4366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190500</xdr:colOff>
      <xdr:row>233</xdr:row>
      <xdr:rowOff>10583</xdr:rowOff>
    </xdr:to>
    <xdr:sp macro="" textlink="">
      <xdr:nvSpPr>
        <xdr:cNvPr id="1818" name="AutoShape 794" descr="Teamlogo">
          <a:extLst>
            <a:ext uri="{FF2B5EF4-FFF2-40B4-BE49-F238E27FC236}">
              <a16:creationId xmlns:a16="http://schemas.microsoft.com/office/drawing/2014/main" id="{B9906157-5ED5-0B4B-3654-D9FDA7781AFE}"/>
            </a:ext>
          </a:extLst>
        </xdr:cNvPr>
        <xdr:cNvSpPr>
          <a:spLocks noChangeAspect="1" noChangeArrowheads="1"/>
        </xdr:cNvSpPr>
      </xdr:nvSpPr>
      <xdr:spPr bwMode="auto">
        <a:xfrm>
          <a:off x="0" y="443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190500</xdr:colOff>
      <xdr:row>236</xdr:row>
      <xdr:rowOff>10583</xdr:rowOff>
    </xdr:to>
    <xdr:sp macro="" textlink="">
      <xdr:nvSpPr>
        <xdr:cNvPr id="1819" name="AutoShape 795" descr="Teamlogo">
          <a:extLst>
            <a:ext uri="{FF2B5EF4-FFF2-40B4-BE49-F238E27FC236}">
              <a16:creationId xmlns:a16="http://schemas.microsoft.com/office/drawing/2014/main" id="{12B295C1-F00B-AB2F-B656-94607CBF213C}"/>
            </a:ext>
          </a:extLst>
        </xdr:cNvPr>
        <xdr:cNvSpPr>
          <a:spLocks noChangeAspect="1" noChangeArrowheads="1"/>
        </xdr:cNvSpPr>
      </xdr:nvSpPr>
      <xdr:spPr bwMode="auto">
        <a:xfrm>
          <a:off x="0" y="449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190500</xdr:colOff>
      <xdr:row>239</xdr:row>
      <xdr:rowOff>10583</xdr:rowOff>
    </xdr:to>
    <xdr:sp macro="" textlink="">
      <xdr:nvSpPr>
        <xdr:cNvPr id="1820" name="AutoShape 796" descr="Teamlogo">
          <a:extLst>
            <a:ext uri="{FF2B5EF4-FFF2-40B4-BE49-F238E27FC236}">
              <a16:creationId xmlns:a16="http://schemas.microsoft.com/office/drawing/2014/main" id="{939B13D2-8840-9E38-D7B6-19CA13B7B08C}"/>
            </a:ext>
          </a:extLst>
        </xdr:cNvPr>
        <xdr:cNvSpPr>
          <a:spLocks noChangeAspect="1" noChangeArrowheads="1"/>
        </xdr:cNvSpPr>
      </xdr:nvSpPr>
      <xdr:spPr bwMode="auto">
        <a:xfrm>
          <a:off x="0" y="455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190500</xdr:colOff>
      <xdr:row>242</xdr:row>
      <xdr:rowOff>10583</xdr:rowOff>
    </xdr:to>
    <xdr:sp macro="" textlink="">
      <xdr:nvSpPr>
        <xdr:cNvPr id="1821" name="AutoShape 797" descr="Teamlogo">
          <a:extLst>
            <a:ext uri="{FF2B5EF4-FFF2-40B4-BE49-F238E27FC236}">
              <a16:creationId xmlns:a16="http://schemas.microsoft.com/office/drawing/2014/main" id="{03BA206D-538B-1DF3-5DA2-E6A07CE1A9FB}"/>
            </a:ext>
          </a:extLst>
        </xdr:cNvPr>
        <xdr:cNvSpPr>
          <a:spLocks noChangeAspect="1" noChangeArrowheads="1"/>
        </xdr:cNvSpPr>
      </xdr:nvSpPr>
      <xdr:spPr bwMode="auto">
        <a:xfrm>
          <a:off x="0" y="461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190500</xdr:colOff>
      <xdr:row>245</xdr:row>
      <xdr:rowOff>10583</xdr:rowOff>
    </xdr:to>
    <xdr:sp macro="" textlink="">
      <xdr:nvSpPr>
        <xdr:cNvPr id="1822" name="AutoShape 798" descr="Teamlogo">
          <a:extLst>
            <a:ext uri="{FF2B5EF4-FFF2-40B4-BE49-F238E27FC236}">
              <a16:creationId xmlns:a16="http://schemas.microsoft.com/office/drawing/2014/main" id="{76ACEAFD-9B05-A7AD-B22A-5FDD134B4635}"/>
            </a:ext>
          </a:extLst>
        </xdr:cNvPr>
        <xdr:cNvSpPr>
          <a:spLocks noChangeAspect="1" noChangeArrowheads="1"/>
        </xdr:cNvSpPr>
      </xdr:nvSpPr>
      <xdr:spPr bwMode="auto">
        <a:xfrm>
          <a:off x="0" y="466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190500</xdr:colOff>
      <xdr:row>248</xdr:row>
      <xdr:rowOff>10583</xdr:rowOff>
    </xdr:to>
    <xdr:sp macro="" textlink="">
      <xdr:nvSpPr>
        <xdr:cNvPr id="1823" name="AutoShape 799" descr="Teamlogo">
          <a:extLst>
            <a:ext uri="{FF2B5EF4-FFF2-40B4-BE49-F238E27FC236}">
              <a16:creationId xmlns:a16="http://schemas.microsoft.com/office/drawing/2014/main" id="{BF69F2DE-B8CA-BA73-F74E-AEB4AD61140F}"/>
            </a:ext>
          </a:extLst>
        </xdr:cNvPr>
        <xdr:cNvSpPr>
          <a:spLocks noChangeAspect="1" noChangeArrowheads="1"/>
        </xdr:cNvSpPr>
      </xdr:nvSpPr>
      <xdr:spPr bwMode="auto">
        <a:xfrm>
          <a:off x="0" y="472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190500</xdr:colOff>
      <xdr:row>251</xdr:row>
      <xdr:rowOff>10583</xdr:rowOff>
    </xdr:to>
    <xdr:sp macro="" textlink="">
      <xdr:nvSpPr>
        <xdr:cNvPr id="1824" name="AutoShape 800" descr="Teamlogo">
          <a:extLst>
            <a:ext uri="{FF2B5EF4-FFF2-40B4-BE49-F238E27FC236}">
              <a16:creationId xmlns:a16="http://schemas.microsoft.com/office/drawing/2014/main" id="{1BF7AFCE-36AC-4C5E-1ABC-C04BE491D1E0}"/>
            </a:ext>
          </a:extLst>
        </xdr:cNvPr>
        <xdr:cNvSpPr>
          <a:spLocks noChangeAspect="1" noChangeArrowheads="1"/>
        </xdr:cNvSpPr>
      </xdr:nvSpPr>
      <xdr:spPr bwMode="auto">
        <a:xfrm>
          <a:off x="0" y="478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190500</xdr:colOff>
      <xdr:row>254</xdr:row>
      <xdr:rowOff>10583</xdr:rowOff>
    </xdr:to>
    <xdr:sp macro="" textlink="">
      <xdr:nvSpPr>
        <xdr:cNvPr id="1825" name="AutoShape 801" descr="Teamlogo">
          <a:extLst>
            <a:ext uri="{FF2B5EF4-FFF2-40B4-BE49-F238E27FC236}">
              <a16:creationId xmlns:a16="http://schemas.microsoft.com/office/drawing/2014/main" id="{0112C2EB-4861-D0A5-EFE2-CFFF05A1E713}"/>
            </a:ext>
          </a:extLst>
        </xdr:cNvPr>
        <xdr:cNvSpPr>
          <a:spLocks noChangeAspect="1" noChangeArrowheads="1"/>
        </xdr:cNvSpPr>
      </xdr:nvSpPr>
      <xdr:spPr bwMode="auto">
        <a:xfrm>
          <a:off x="0" y="483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190500</xdr:colOff>
      <xdr:row>257</xdr:row>
      <xdr:rowOff>10583</xdr:rowOff>
    </xdr:to>
    <xdr:sp macro="" textlink="">
      <xdr:nvSpPr>
        <xdr:cNvPr id="1826" name="AutoShape 802" descr="Teamlogo">
          <a:extLst>
            <a:ext uri="{FF2B5EF4-FFF2-40B4-BE49-F238E27FC236}">
              <a16:creationId xmlns:a16="http://schemas.microsoft.com/office/drawing/2014/main" id="{907B960E-6E68-EF0E-F14E-BFED1A3F04A2}"/>
            </a:ext>
          </a:extLst>
        </xdr:cNvPr>
        <xdr:cNvSpPr>
          <a:spLocks noChangeAspect="1" noChangeArrowheads="1"/>
        </xdr:cNvSpPr>
      </xdr:nvSpPr>
      <xdr:spPr bwMode="auto">
        <a:xfrm>
          <a:off x="0" y="489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190500</xdr:colOff>
      <xdr:row>260</xdr:row>
      <xdr:rowOff>10583</xdr:rowOff>
    </xdr:to>
    <xdr:sp macro="" textlink="">
      <xdr:nvSpPr>
        <xdr:cNvPr id="1827" name="AutoShape 803" descr="Teamlogo">
          <a:extLst>
            <a:ext uri="{FF2B5EF4-FFF2-40B4-BE49-F238E27FC236}">
              <a16:creationId xmlns:a16="http://schemas.microsoft.com/office/drawing/2014/main" id="{609E700B-601A-AB6D-6423-63A9236A980A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190500</xdr:colOff>
      <xdr:row>263</xdr:row>
      <xdr:rowOff>10583</xdr:rowOff>
    </xdr:to>
    <xdr:sp macro="" textlink="">
      <xdr:nvSpPr>
        <xdr:cNvPr id="1828" name="AutoShape 804" descr="Teamlogo">
          <a:extLst>
            <a:ext uri="{FF2B5EF4-FFF2-40B4-BE49-F238E27FC236}">
              <a16:creationId xmlns:a16="http://schemas.microsoft.com/office/drawing/2014/main" id="{35A7D476-B1D5-D09B-2258-5177A1C2A184}"/>
            </a:ext>
          </a:extLst>
        </xdr:cNvPr>
        <xdr:cNvSpPr>
          <a:spLocks noChangeAspect="1" noChangeArrowheads="1"/>
        </xdr:cNvSpPr>
      </xdr:nvSpPr>
      <xdr:spPr bwMode="auto">
        <a:xfrm>
          <a:off x="0" y="501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190500</xdr:colOff>
      <xdr:row>266</xdr:row>
      <xdr:rowOff>10583</xdr:rowOff>
    </xdr:to>
    <xdr:sp macro="" textlink="">
      <xdr:nvSpPr>
        <xdr:cNvPr id="1829" name="AutoShape 805" descr="Teamlogo">
          <a:extLst>
            <a:ext uri="{FF2B5EF4-FFF2-40B4-BE49-F238E27FC236}">
              <a16:creationId xmlns:a16="http://schemas.microsoft.com/office/drawing/2014/main" id="{619F32FB-B78C-4F1C-93FF-2161A81E76CA}"/>
            </a:ext>
          </a:extLst>
        </xdr:cNvPr>
        <xdr:cNvSpPr>
          <a:spLocks noChangeAspect="1" noChangeArrowheads="1"/>
        </xdr:cNvSpPr>
      </xdr:nvSpPr>
      <xdr:spPr bwMode="auto">
        <a:xfrm>
          <a:off x="0" y="5082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190500</xdr:colOff>
      <xdr:row>269</xdr:row>
      <xdr:rowOff>10583</xdr:rowOff>
    </xdr:to>
    <xdr:sp macro="" textlink="">
      <xdr:nvSpPr>
        <xdr:cNvPr id="1830" name="AutoShape 806" descr="Teamlogo">
          <a:extLst>
            <a:ext uri="{FF2B5EF4-FFF2-40B4-BE49-F238E27FC236}">
              <a16:creationId xmlns:a16="http://schemas.microsoft.com/office/drawing/2014/main" id="{F28D81CC-DE37-7521-86F5-47CAE7B4B2FD}"/>
            </a:ext>
          </a:extLst>
        </xdr:cNvPr>
        <xdr:cNvSpPr>
          <a:spLocks noChangeAspect="1" noChangeArrowheads="1"/>
        </xdr:cNvSpPr>
      </xdr:nvSpPr>
      <xdr:spPr bwMode="auto">
        <a:xfrm>
          <a:off x="0" y="51396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190500</xdr:colOff>
      <xdr:row>272</xdr:row>
      <xdr:rowOff>10583</xdr:rowOff>
    </xdr:to>
    <xdr:sp macro="" textlink="">
      <xdr:nvSpPr>
        <xdr:cNvPr id="1831" name="AutoShape 807" descr="Teamlogo">
          <a:extLst>
            <a:ext uri="{FF2B5EF4-FFF2-40B4-BE49-F238E27FC236}">
              <a16:creationId xmlns:a16="http://schemas.microsoft.com/office/drawing/2014/main" id="{951B981C-D57D-C20D-14D2-35E76915B196}"/>
            </a:ext>
          </a:extLst>
        </xdr:cNvPr>
        <xdr:cNvSpPr>
          <a:spLocks noChangeAspect="1" noChangeArrowheads="1"/>
        </xdr:cNvSpPr>
      </xdr:nvSpPr>
      <xdr:spPr bwMode="auto">
        <a:xfrm>
          <a:off x="0" y="5196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190500</xdr:colOff>
      <xdr:row>275</xdr:row>
      <xdr:rowOff>10583</xdr:rowOff>
    </xdr:to>
    <xdr:sp macro="" textlink="">
      <xdr:nvSpPr>
        <xdr:cNvPr id="1832" name="AutoShape 808" descr="Teamlogo">
          <a:extLst>
            <a:ext uri="{FF2B5EF4-FFF2-40B4-BE49-F238E27FC236}">
              <a16:creationId xmlns:a16="http://schemas.microsoft.com/office/drawing/2014/main" id="{49300BD2-8C76-5D49-1C74-803ED75B9F0B}"/>
            </a:ext>
          </a:extLst>
        </xdr:cNvPr>
        <xdr:cNvSpPr>
          <a:spLocks noChangeAspect="1" noChangeArrowheads="1"/>
        </xdr:cNvSpPr>
      </xdr:nvSpPr>
      <xdr:spPr bwMode="auto">
        <a:xfrm>
          <a:off x="0" y="52539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190500</xdr:colOff>
      <xdr:row>278</xdr:row>
      <xdr:rowOff>10583</xdr:rowOff>
    </xdr:to>
    <xdr:sp macro="" textlink="">
      <xdr:nvSpPr>
        <xdr:cNvPr id="1833" name="AutoShape 809" descr="Teamlogo">
          <a:extLst>
            <a:ext uri="{FF2B5EF4-FFF2-40B4-BE49-F238E27FC236}">
              <a16:creationId xmlns:a16="http://schemas.microsoft.com/office/drawing/2014/main" id="{FADEB387-38D2-AA89-3046-A5F149BFD232}"/>
            </a:ext>
          </a:extLst>
        </xdr:cNvPr>
        <xdr:cNvSpPr>
          <a:spLocks noChangeAspect="1" noChangeArrowheads="1"/>
        </xdr:cNvSpPr>
      </xdr:nvSpPr>
      <xdr:spPr bwMode="auto">
        <a:xfrm>
          <a:off x="0" y="5311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190500</xdr:colOff>
      <xdr:row>281</xdr:row>
      <xdr:rowOff>10583</xdr:rowOff>
    </xdr:to>
    <xdr:sp macro="" textlink="">
      <xdr:nvSpPr>
        <xdr:cNvPr id="1834" name="AutoShape 810" descr="Teamlogo">
          <a:extLst>
            <a:ext uri="{FF2B5EF4-FFF2-40B4-BE49-F238E27FC236}">
              <a16:creationId xmlns:a16="http://schemas.microsoft.com/office/drawing/2014/main" id="{FA28E0BB-2D72-F9BA-72D8-0836CA58DB54}"/>
            </a:ext>
          </a:extLst>
        </xdr:cNvPr>
        <xdr:cNvSpPr>
          <a:spLocks noChangeAspect="1" noChangeArrowheads="1"/>
        </xdr:cNvSpPr>
      </xdr:nvSpPr>
      <xdr:spPr bwMode="auto">
        <a:xfrm>
          <a:off x="0" y="53682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190500</xdr:colOff>
      <xdr:row>284</xdr:row>
      <xdr:rowOff>10583</xdr:rowOff>
    </xdr:to>
    <xdr:sp macro="" textlink="">
      <xdr:nvSpPr>
        <xdr:cNvPr id="1835" name="AutoShape 811" descr="Teamlogo">
          <a:extLst>
            <a:ext uri="{FF2B5EF4-FFF2-40B4-BE49-F238E27FC236}">
              <a16:creationId xmlns:a16="http://schemas.microsoft.com/office/drawing/2014/main" id="{C9539E9A-16BD-6038-1ABA-7E9E91DA6391}"/>
            </a:ext>
          </a:extLst>
        </xdr:cNvPr>
        <xdr:cNvSpPr>
          <a:spLocks noChangeAspect="1" noChangeArrowheads="1"/>
        </xdr:cNvSpPr>
      </xdr:nvSpPr>
      <xdr:spPr bwMode="auto">
        <a:xfrm>
          <a:off x="0" y="5425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190500</xdr:colOff>
      <xdr:row>287</xdr:row>
      <xdr:rowOff>10583</xdr:rowOff>
    </xdr:to>
    <xdr:sp macro="" textlink="">
      <xdr:nvSpPr>
        <xdr:cNvPr id="1836" name="AutoShape 812" descr="Teamlogo">
          <a:extLst>
            <a:ext uri="{FF2B5EF4-FFF2-40B4-BE49-F238E27FC236}">
              <a16:creationId xmlns:a16="http://schemas.microsoft.com/office/drawing/2014/main" id="{08B60DA8-C69F-746A-44E2-8E7AA8E519F5}"/>
            </a:ext>
          </a:extLst>
        </xdr:cNvPr>
        <xdr:cNvSpPr>
          <a:spLocks noChangeAspect="1" noChangeArrowheads="1"/>
        </xdr:cNvSpPr>
      </xdr:nvSpPr>
      <xdr:spPr bwMode="auto">
        <a:xfrm>
          <a:off x="0" y="54825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190500</xdr:colOff>
      <xdr:row>290</xdr:row>
      <xdr:rowOff>10583</xdr:rowOff>
    </xdr:to>
    <xdr:sp macro="" textlink="">
      <xdr:nvSpPr>
        <xdr:cNvPr id="1837" name="AutoShape 813" descr="Teamlogo">
          <a:extLst>
            <a:ext uri="{FF2B5EF4-FFF2-40B4-BE49-F238E27FC236}">
              <a16:creationId xmlns:a16="http://schemas.microsoft.com/office/drawing/2014/main" id="{42B24A64-D4CB-B507-583B-DF5D0050888D}"/>
            </a:ext>
          </a:extLst>
        </xdr:cNvPr>
        <xdr:cNvSpPr>
          <a:spLocks noChangeAspect="1" noChangeArrowheads="1"/>
        </xdr:cNvSpPr>
      </xdr:nvSpPr>
      <xdr:spPr bwMode="auto">
        <a:xfrm>
          <a:off x="0" y="5539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190500</xdr:colOff>
      <xdr:row>293</xdr:row>
      <xdr:rowOff>10583</xdr:rowOff>
    </xdr:to>
    <xdr:sp macro="" textlink="">
      <xdr:nvSpPr>
        <xdr:cNvPr id="1838" name="AutoShape 814" descr="Teamlogo">
          <a:extLst>
            <a:ext uri="{FF2B5EF4-FFF2-40B4-BE49-F238E27FC236}">
              <a16:creationId xmlns:a16="http://schemas.microsoft.com/office/drawing/2014/main" id="{CA6F8696-DD09-88A2-8571-EAAE4D08D197}"/>
            </a:ext>
          </a:extLst>
        </xdr:cNvPr>
        <xdr:cNvSpPr>
          <a:spLocks noChangeAspect="1" noChangeArrowheads="1"/>
        </xdr:cNvSpPr>
      </xdr:nvSpPr>
      <xdr:spPr bwMode="auto">
        <a:xfrm>
          <a:off x="0" y="55968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190500</xdr:colOff>
      <xdr:row>296</xdr:row>
      <xdr:rowOff>10583</xdr:rowOff>
    </xdr:to>
    <xdr:sp macro="" textlink="">
      <xdr:nvSpPr>
        <xdr:cNvPr id="1839" name="AutoShape 815" descr="Teamlogo">
          <a:extLst>
            <a:ext uri="{FF2B5EF4-FFF2-40B4-BE49-F238E27FC236}">
              <a16:creationId xmlns:a16="http://schemas.microsoft.com/office/drawing/2014/main" id="{1D106712-C85A-615B-46D3-96515C5CDE5F}"/>
            </a:ext>
          </a:extLst>
        </xdr:cNvPr>
        <xdr:cNvSpPr>
          <a:spLocks noChangeAspect="1" noChangeArrowheads="1"/>
        </xdr:cNvSpPr>
      </xdr:nvSpPr>
      <xdr:spPr bwMode="auto">
        <a:xfrm>
          <a:off x="0" y="5654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190500</xdr:colOff>
      <xdr:row>299</xdr:row>
      <xdr:rowOff>10583</xdr:rowOff>
    </xdr:to>
    <xdr:sp macro="" textlink="">
      <xdr:nvSpPr>
        <xdr:cNvPr id="1840" name="AutoShape 816" descr="Teamlogo">
          <a:extLst>
            <a:ext uri="{FF2B5EF4-FFF2-40B4-BE49-F238E27FC236}">
              <a16:creationId xmlns:a16="http://schemas.microsoft.com/office/drawing/2014/main" id="{DA8AF64D-E694-3E71-BB5E-DCC57F470D29}"/>
            </a:ext>
          </a:extLst>
        </xdr:cNvPr>
        <xdr:cNvSpPr>
          <a:spLocks noChangeAspect="1" noChangeArrowheads="1"/>
        </xdr:cNvSpPr>
      </xdr:nvSpPr>
      <xdr:spPr bwMode="auto">
        <a:xfrm>
          <a:off x="0" y="57111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190500</xdr:colOff>
      <xdr:row>302</xdr:row>
      <xdr:rowOff>10583</xdr:rowOff>
    </xdr:to>
    <xdr:sp macro="" textlink="">
      <xdr:nvSpPr>
        <xdr:cNvPr id="1841" name="AutoShape 817" descr="Teamlogo">
          <a:extLst>
            <a:ext uri="{FF2B5EF4-FFF2-40B4-BE49-F238E27FC236}">
              <a16:creationId xmlns:a16="http://schemas.microsoft.com/office/drawing/2014/main" id="{EBFDE54E-1A75-E426-21CF-887B58C463ED}"/>
            </a:ext>
          </a:extLst>
        </xdr:cNvPr>
        <xdr:cNvSpPr>
          <a:spLocks noChangeAspect="1" noChangeArrowheads="1"/>
        </xdr:cNvSpPr>
      </xdr:nvSpPr>
      <xdr:spPr bwMode="auto">
        <a:xfrm>
          <a:off x="0" y="57683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190500</xdr:colOff>
      <xdr:row>305</xdr:row>
      <xdr:rowOff>10583</xdr:rowOff>
    </xdr:to>
    <xdr:sp macro="" textlink="">
      <xdr:nvSpPr>
        <xdr:cNvPr id="1842" name="AutoShape 818" descr="Teamlogo">
          <a:extLst>
            <a:ext uri="{FF2B5EF4-FFF2-40B4-BE49-F238E27FC236}">
              <a16:creationId xmlns:a16="http://schemas.microsoft.com/office/drawing/2014/main" id="{0A5551F8-45FC-0E01-DB5F-268F1E2E6F27}"/>
            </a:ext>
          </a:extLst>
        </xdr:cNvPr>
        <xdr:cNvSpPr>
          <a:spLocks noChangeAspect="1" noChangeArrowheads="1"/>
        </xdr:cNvSpPr>
      </xdr:nvSpPr>
      <xdr:spPr bwMode="auto">
        <a:xfrm>
          <a:off x="0" y="5825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190500</xdr:colOff>
      <xdr:row>308</xdr:row>
      <xdr:rowOff>10583</xdr:rowOff>
    </xdr:to>
    <xdr:sp macro="" textlink="">
      <xdr:nvSpPr>
        <xdr:cNvPr id="1843" name="AutoShape 819" descr="Teamlogo">
          <a:extLst>
            <a:ext uri="{FF2B5EF4-FFF2-40B4-BE49-F238E27FC236}">
              <a16:creationId xmlns:a16="http://schemas.microsoft.com/office/drawing/2014/main" id="{652C2DA4-6B4D-1A52-C735-E60008B0981C}"/>
            </a:ext>
          </a:extLst>
        </xdr:cNvPr>
        <xdr:cNvSpPr>
          <a:spLocks noChangeAspect="1" noChangeArrowheads="1"/>
        </xdr:cNvSpPr>
      </xdr:nvSpPr>
      <xdr:spPr bwMode="auto">
        <a:xfrm>
          <a:off x="0" y="5882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190500</xdr:colOff>
      <xdr:row>311</xdr:row>
      <xdr:rowOff>10583</xdr:rowOff>
    </xdr:to>
    <xdr:sp macro="" textlink="">
      <xdr:nvSpPr>
        <xdr:cNvPr id="1844" name="AutoShape 820" descr="Teamlogo">
          <a:extLst>
            <a:ext uri="{FF2B5EF4-FFF2-40B4-BE49-F238E27FC236}">
              <a16:creationId xmlns:a16="http://schemas.microsoft.com/office/drawing/2014/main" id="{FDEAF87D-0FBE-9FF9-3794-B420FA2BBC17}"/>
            </a:ext>
          </a:extLst>
        </xdr:cNvPr>
        <xdr:cNvSpPr>
          <a:spLocks noChangeAspect="1" noChangeArrowheads="1"/>
        </xdr:cNvSpPr>
      </xdr:nvSpPr>
      <xdr:spPr bwMode="auto">
        <a:xfrm>
          <a:off x="0" y="59397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190500</xdr:colOff>
      <xdr:row>314</xdr:row>
      <xdr:rowOff>10583</xdr:rowOff>
    </xdr:to>
    <xdr:sp macro="" textlink="">
      <xdr:nvSpPr>
        <xdr:cNvPr id="1845" name="AutoShape 821" descr="Teamlogo">
          <a:extLst>
            <a:ext uri="{FF2B5EF4-FFF2-40B4-BE49-F238E27FC236}">
              <a16:creationId xmlns:a16="http://schemas.microsoft.com/office/drawing/2014/main" id="{4785C837-AEB3-47D1-4C42-64C4AAB25256}"/>
            </a:ext>
          </a:extLst>
        </xdr:cNvPr>
        <xdr:cNvSpPr>
          <a:spLocks noChangeAspect="1" noChangeArrowheads="1"/>
        </xdr:cNvSpPr>
      </xdr:nvSpPr>
      <xdr:spPr bwMode="auto">
        <a:xfrm>
          <a:off x="0" y="5996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190500</xdr:colOff>
      <xdr:row>317</xdr:row>
      <xdr:rowOff>10583</xdr:rowOff>
    </xdr:to>
    <xdr:sp macro="" textlink="">
      <xdr:nvSpPr>
        <xdr:cNvPr id="1846" name="AutoShape 822" descr="Teamlogo">
          <a:extLst>
            <a:ext uri="{FF2B5EF4-FFF2-40B4-BE49-F238E27FC236}">
              <a16:creationId xmlns:a16="http://schemas.microsoft.com/office/drawing/2014/main" id="{DA158B40-4304-21DF-07CC-7681DB2287C7}"/>
            </a:ext>
          </a:extLst>
        </xdr:cNvPr>
        <xdr:cNvSpPr>
          <a:spLocks noChangeAspect="1" noChangeArrowheads="1"/>
        </xdr:cNvSpPr>
      </xdr:nvSpPr>
      <xdr:spPr bwMode="auto">
        <a:xfrm>
          <a:off x="0" y="60540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190500</xdr:colOff>
      <xdr:row>320</xdr:row>
      <xdr:rowOff>10583</xdr:rowOff>
    </xdr:to>
    <xdr:sp macro="" textlink="">
      <xdr:nvSpPr>
        <xdr:cNvPr id="1847" name="AutoShape 823" descr="Teamlogo">
          <a:extLst>
            <a:ext uri="{FF2B5EF4-FFF2-40B4-BE49-F238E27FC236}">
              <a16:creationId xmlns:a16="http://schemas.microsoft.com/office/drawing/2014/main" id="{D0D39E83-B2EF-A51A-927F-1588B8F5550A}"/>
            </a:ext>
          </a:extLst>
        </xdr:cNvPr>
        <xdr:cNvSpPr>
          <a:spLocks noChangeAspect="1" noChangeArrowheads="1"/>
        </xdr:cNvSpPr>
      </xdr:nvSpPr>
      <xdr:spPr bwMode="auto">
        <a:xfrm>
          <a:off x="0" y="6111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190500</xdr:colOff>
      <xdr:row>323</xdr:row>
      <xdr:rowOff>10583</xdr:rowOff>
    </xdr:to>
    <xdr:sp macro="" textlink="">
      <xdr:nvSpPr>
        <xdr:cNvPr id="1848" name="AutoShape 824" descr="Teamlogo">
          <a:extLst>
            <a:ext uri="{FF2B5EF4-FFF2-40B4-BE49-F238E27FC236}">
              <a16:creationId xmlns:a16="http://schemas.microsoft.com/office/drawing/2014/main" id="{4A38FC82-393A-AE8B-AC2D-4C40E8CE2A39}"/>
            </a:ext>
          </a:extLst>
        </xdr:cNvPr>
        <xdr:cNvSpPr>
          <a:spLocks noChangeAspect="1" noChangeArrowheads="1"/>
        </xdr:cNvSpPr>
      </xdr:nvSpPr>
      <xdr:spPr bwMode="auto">
        <a:xfrm>
          <a:off x="0" y="61683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190500</xdr:colOff>
      <xdr:row>326</xdr:row>
      <xdr:rowOff>10583</xdr:rowOff>
    </xdr:to>
    <xdr:sp macro="" textlink="">
      <xdr:nvSpPr>
        <xdr:cNvPr id="1849" name="AutoShape 825" descr="Teamlogo">
          <a:extLst>
            <a:ext uri="{FF2B5EF4-FFF2-40B4-BE49-F238E27FC236}">
              <a16:creationId xmlns:a16="http://schemas.microsoft.com/office/drawing/2014/main" id="{A619C9CF-F322-7A0F-0DB0-64E626A156B7}"/>
            </a:ext>
          </a:extLst>
        </xdr:cNvPr>
        <xdr:cNvSpPr>
          <a:spLocks noChangeAspect="1" noChangeArrowheads="1"/>
        </xdr:cNvSpPr>
      </xdr:nvSpPr>
      <xdr:spPr bwMode="auto">
        <a:xfrm>
          <a:off x="0" y="6225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190500</xdr:colOff>
      <xdr:row>329</xdr:row>
      <xdr:rowOff>10583</xdr:rowOff>
    </xdr:to>
    <xdr:sp macro="" textlink="">
      <xdr:nvSpPr>
        <xdr:cNvPr id="1850" name="AutoShape 826" descr="Teamlogo">
          <a:extLst>
            <a:ext uri="{FF2B5EF4-FFF2-40B4-BE49-F238E27FC236}">
              <a16:creationId xmlns:a16="http://schemas.microsoft.com/office/drawing/2014/main" id="{7B902FEE-B531-E101-2FCF-26B89B051BA1}"/>
            </a:ext>
          </a:extLst>
        </xdr:cNvPr>
        <xdr:cNvSpPr>
          <a:spLocks noChangeAspect="1" noChangeArrowheads="1"/>
        </xdr:cNvSpPr>
      </xdr:nvSpPr>
      <xdr:spPr bwMode="auto">
        <a:xfrm>
          <a:off x="0" y="62826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190500</xdr:colOff>
      <xdr:row>332</xdr:row>
      <xdr:rowOff>10583</xdr:rowOff>
    </xdr:to>
    <xdr:sp macro="" textlink="">
      <xdr:nvSpPr>
        <xdr:cNvPr id="1851" name="AutoShape 827" descr="Teamlogo">
          <a:extLst>
            <a:ext uri="{FF2B5EF4-FFF2-40B4-BE49-F238E27FC236}">
              <a16:creationId xmlns:a16="http://schemas.microsoft.com/office/drawing/2014/main" id="{592DE152-756E-16CE-0273-76678902169D}"/>
            </a:ext>
          </a:extLst>
        </xdr:cNvPr>
        <xdr:cNvSpPr>
          <a:spLocks noChangeAspect="1" noChangeArrowheads="1"/>
        </xdr:cNvSpPr>
      </xdr:nvSpPr>
      <xdr:spPr bwMode="auto">
        <a:xfrm>
          <a:off x="0" y="6339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190500</xdr:colOff>
      <xdr:row>335</xdr:row>
      <xdr:rowOff>10583</xdr:rowOff>
    </xdr:to>
    <xdr:sp macro="" textlink="">
      <xdr:nvSpPr>
        <xdr:cNvPr id="1852" name="AutoShape 828" descr="Teamlogo">
          <a:extLst>
            <a:ext uri="{FF2B5EF4-FFF2-40B4-BE49-F238E27FC236}">
              <a16:creationId xmlns:a16="http://schemas.microsoft.com/office/drawing/2014/main" id="{E801AD50-8E9D-B4A5-E537-18605BBA4B67}"/>
            </a:ext>
          </a:extLst>
        </xdr:cNvPr>
        <xdr:cNvSpPr>
          <a:spLocks noChangeAspect="1" noChangeArrowheads="1"/>
        </xdr:cNvSpPr>
      </xdr:nvSpPr>
      <xdr:spPr bwMode="auto">
        <a:xfrm>
          <a:off x="0" y="63969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190500</xdr:colOff>
      <xdr:row>338</xdr:row>
      <xdr:rowOff>10583</xdr:rowOff>
    </xdr:to>
    <xdr:sp macro="" textlink="">
      <xdr:nvSpPr>
        <xdr:cNvPr id="1853" name="AutoShape 829" descr="Teamlogo">
          <a:extLst>
            <a:ext uri="{FF2B5EF4-FFF2-40B4-BE49-F238E27FC236}">
              <a16:creationId xmlns:a16="http://schemas.microsoft.com/office/drawing/2014/main" id="{E0F8FFFD-4DB5-DBA0-33B6-C8903449F158}"/>
            </a:ext>
          </a:extLst>
        </xdr:cNvPr>
        <xdr:cNvSpPr>
          <a:spLocks noChangeAspect="1" noChangeArrowheads="1"/>
        </xdr:cNvSpPr>
      </xdr:nvSpPr>
      <xdr:spPr bwMode="auto">
        <a:xfrm>
          <a:off x="0" y="6454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190500</xdr:colOff>
      <xdr:row>341</xdr:row>
      <xdr:rowOff>10583</xdr:rowOff>
    </xdr:to>
    <xdr:sp macro="" textlink="">
      <xdr:nvSpPr>
        <xdr:cNvPr id="1854" name="AutoShape 830" descr="Teamlogo">
          <a:extLst>
            <a:ext uri="{FF2B5EF4-FFF2-40B4-BE49-F238E27FC236}">
              <a16:creationId xmlns:a16="http://schemas.microsoft.com/office/drawing/2014/main" id="{19FC047E-B152-A1F4-A6F5-E770667A6488}"/>
            </a:ext>
          </a:extLst>
        </xdr:cNvPr>
        <xdr:cNvSpPr>
          <a:spLocks noChangeAspect="1" noChangeArrowheads="1"/>
        </xdr:cNvSpPr>
      </xdr:nvSpPr>
      <xdr:spPr bwMode="auto">
        <a:xfrm>
          <a:off x="0" y="65112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190500</xdr:colOff>
      <xdr:row>344</xdr:row>
      <xdr:rowOff>10583</xdr:rowOff>
    </xdr:to>
    <xdr:sp macro="" textlink="">
      <xdr:nvSpPr>
        <xdr:cNvPr id="1855" name="AutoShape 831" descr="Teamlogo">
          <a:extLst>
            <a:ext uri="{FF2B5EF4-FFF2-40B4-BE49-F238E27FC236}">
              <a16:creationId xmlns:a16="http://schemas.microsoft.com/office/drawing/2014/main" id="{EEC1995C-01A9-2015-4E7A-A7AD1790F135}"/>
            </a:ext>
          </a:extLst>
        </xdr:cNvPr>
        <xdr:cNvSpPr>
          <a:spLocks noChangeAspect="1" noChangeArrowheads="1"/>
        </xdr:cNvSpPr>
      </xdr:nvSpPr>
      <xdr:spPr bwMode="auto">
        <a:xfrm>
          <a:off x="0" y="6568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190500</xdr:colOff>
      <xdr:row>347</xdr:row>
      <xdr:rowOff>10583</xdr:rowOff>
    </xdr:to>
    <xdr:sp macro="" textlink="">
      <xdr:nvSpPr>
        <xdr:cNvPr id="1856" name="AutoShape 832" descr="Teamlogo">
          <a:extLst>
            <a:ext uri="{FF2B5EF4-FFF2-40B4-BE49-F238E27FC236}">
              <a16:creationId xmlns:a16="http://schemas.microsoft.com/office/drawing/2014/main" id="{EF4D2E12-48CD-25D4-0F46-FECF31410E82}"/>
            </a:ext>
          </a:extLst>
        </xdr:cNvPr>
        <xdr:cNvSpPr>
          <a:spLocks noChangeAspect="1" noChangeArrowheads="1"/>
        </xdr:cNvSpPr>
      </xdr:nvSpPr>
      <xdr:spPr bwMode="auto">
        <a:xfrm>
          <a:off x="0" y="66255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190500</xdr:colOff>
      <xdr:row>350</xdr:row>
      <xdr:rowOff>10583</xdr:rowOff>
    </xdr:to>
    <xdr:sp macro="" textlink="">
      <xdr:nvSpPr>
        <xdr:cNvPr id="1857" name="AutoShape 833" descr="Teamlogo">
          <a:extLst>
            <a:ext uri="{FF2B5EF4-FFF2-40B4-BE49-F238E27FC236}">
              <a16:creationId xmlns:a16="http://schemas.microsoft.com/office/drawing/2014/main" id="{AD9985A9-9AED-C1B3-6693-478CD0334A2D}"/>
            </a:ext>
          </a:extLst>
        </xdr:cNvPr>
        <xdr:cNvSpPr>
          <a:spLocks noChangeAspect="1" noChangeArrowheads="1"/>
        </xdr:cNvSpPr>
      </xdr:nvSpPr>
      <xdr:spPr bwMode="auto">
        <a:xfrm>
          <a:off x="0" y="6682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190500</xdr:colOff>
      <xdr:row>353</xdr:row>
      <xdr:rowOff>10583</xdr:rowOff>
    </xdr:to>
    <xdr:sp macro="" textlink="">
      <xdr:nvSpPr>
        <xdr:cNvPr id="1858" name="AutoShape 834" descr="Teamlogo">
          <a:extLst>
            <a:ext uri="{FF2B5EF4-FFF2-40B4-BE49-F238E27FC236}">
              <a16:creationId xmlns:a16="http://schemas.microsoft.com/office/drawing/2014/main" id="{E4A254DE-89CC-4D40-958E-DEC2D44F95F7}"/>
            </a:ext>
          </a:extLst>
        </xdr:cNvPr>
        <xdr:cNvSpPr>
          <a:spLocks noChangeAspect="1" noChangeArrowheads="1"/>
        </xdr:cNvSpPr>
      </xdr:nvSpPr>
      <xdr:spPr bwMode="auto">
        <a:xfrm>
          <a:off x="0" y="67398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190500</xdr:colOff>
      <xdr:row>356</xdr:row>
      <xdr:rowOff>10583</xdr:rowOff>
    </xdr:to>
    <xdr:sp macro="" textlink="">
      <xdr:nvSpPr>
        <xdr:cNvPr id="1859" name="AutoShape 835" descr="Teamlogo">
          <a:extLst>
            <a:ext uri="{FF2B5EF4-FFF2-40B4-BE49-F238E27FC236}">
              <a16:creationId xmlns:a16="http://schemas.microsoft.com/office/drawing/2014/main" id="{741CE150-CCDB-460D-1092-78795431B56D}"/>
            </a:ext>
          </a:extLst>
        </xdr:cNvPr>
        <xdr:cNvSpPr>
          <a:spLocks noChangeAspect="1" noChangeArrowheads="1"/>
        </xdr:cNvSpPr>
      </xdr:nvSpPr>
      <xdr:spPr bwMode="auto">
        <a:xfrm>
          <a:off x="0" y="6797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190500</xdr:colOff>
      <xdr:row>359</xdr:row>
      <xdr:rowOff>10583</xdr:rowOff>
    </xdr:to>
    <xdr:sp macro="" textlink="">
      <xdr:nvSpPr>
        <xdr:cNvPr id="1860" name="AutoShape 836" descr="Teamlogo">
          <a:extLst>
            <a:ext uri="{FF2B5EF4-FFF2-40B4-BE49-F238E27FC236}">
              <a16:creationId xmlns:a16="http://schemas.microsoft.com/office/drawing/2014/main" id="{3B2E86D7-0E85-EA1D-C55D-613601859E76}"/>
            </a:ext>
          </a:extLst>
        </xdr:cNvPr>
        <xdr:cNvSpPr>
          <a:spLocks noChangeAspect="1" noChangeArrowheads="1"/>
        </xdr:cNvSpPr>
      </xdr:nvSpPr>
      <xdr:spPr bwMode="auto">
        <a:xfrm>
          <a:off x="0" y="68541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190500</xdr:colOff>
      <xdr:row>362</xdr:row>
      <xdr:rowOff>10583</xdr:rowOff>
    </xdr:to>
    <xdr:sp macro="" textlink="">
      <xdr:nvSpPr>
        <xdr:cNvPr id="1861" name="AutoShape 837" descr="Teamlogo">
          <a:extLst>
            <a:ext uri="{FF2B5EF4-FFF2-40B4-BE49-F238E27FC236}">
              <a16:creationId xmlns:a16="http://schemas.microsoft.com/office/drawing/2014/main" id="{51607949-A632-6165-2B24-03EDC403F268}"/>
            </a:ext>
          </a:extLst>
        </xdr:cNvPr>
        <xdr:cNvSpPr>
          <a:spLocks noChangeAspect="1" noChangeArrowheads="1"/>
        </xdr:cNvSpPr>
      </xdr:nvSpPr>
      <xdr:spPr bwMode="auto">
        <a:xfrm>
          <a:off x="0" y="69113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190500</xdr:colOff>
      <xdr:row>365</xdr:row>
      <xdr:rowOff>10583</xdr:rowOff>
    </xdr:to>
    <xdr:sp macro="" textlink="">
      <xdr:nvSpPr>
        <xdr:cNvPr id="1862" name="AutoShape 838" descr="Teamlogo">
          <a:extLst>
            <a:ext uri="{FF2B5EF4-FFF2-40B4-BE49-F238E27FC236}">
              <a16:creationId xmlns:a16="http://schemas.microsoft.com/office/drawing/2014/main" id="{16B48CBF-E618-06F4-DC56-BB3BAD6178B3}"/>
            </a:ext>
          </a:extLst>
        </xdr:cNvPr>
        <xdr:cNvSpPr>
          <a:spLocks noChangeAspect="1" noChangeArrowheads="1"/>
        </xdr:cNvSpPr>
      </xdr:nvSpPr>
      <xdr:spPr bwMode="auto">
        <a:xfrm>
          <a:off x="0" y="6968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190500</xdr:colOff>
      <xdr:row>368</xdr:row>
      <xdr:rowOff>10583</xdr:rowOff>
    </xdr:to>
    <xdr:sp macro="" textlink="">
      <xdr:nvSpPr>
        <xdr:cNvPr id="1863" name="AutoShape 839" descr="Teamlogo">
          <a:extLst>
            <a:ext uri="{FF2B5EF4-FFF2-40B4-BE49-F238E27FC236}">
              <a16:creationId xmlns:a16="http://schemas.microsoft.com/office/drawing/2014/main" id="{13F22FF9-2E3D-C554-55C9-5A95CF0BE857}"/>
            </a:ext>
          </a:extLst>
        </xdr:cNvPr>
        <xdr:cNvSpPr>
          <a:spLocks noChangeAspect="1" noChangeArrowheads="1"/>
        </xdr:cNvSpPr>
      </xdr:nvSpPr>
      <xdr:spPr bwMode="auto">
        <a:xfrm>
          <a:off x="0" y="7040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190500</xdr:colOff>
      <xdr:row>371</xdr:row>
      <xdr:rowOff>10583</xdr:rowOff>
    </xdr:to>
    <xdr:sp macro="" textlink="">
      <xdr:nvSpPr>
        <xdr:cNvPr id="1864" name="AutoShape 840" descr="Teamlogo">
          <a:extLst>
            <a:ext uri="{FF2B5EF4-FFF2-40B4-BE49-F238E27FC236}">
              <a16:creationId xmlns:a16="http://schemas.microsoft.com/office/drawing/2014/main" id="{4E946F9C-EAA1-BBEC-58BD-45BD6E898407}"/>
            </a:ext>
          </a:extLst>
        </xdr:cNvPr>
        <xdr:cNvSpPr>
          <a:spLocks noChangeAspect="1" noChangeArrowheads="1"/>
        </xdr:cNvSpPr>
      </xdr:nvSpPr>
      <xdr:spPr bwMode="auto">
        <a:xfrm>
          <a:off x="0" y="70980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190500</xdr:colOff>
      <xdr:row>374</xdr:row>
      <xdr:rowOff>10583</xdr:rowOff>
    </xdr:to>
    <xdr:sp macro="" textlink="">
      <xdr:nvSpPr>
        <xdr:cNvPr id="1865" name="AutoShape 841" descr="Teamlogo">
          <a:extLst>
            <a:ext uri="{FF2B5EF4-FFF2-40B4-BE49-F238E27FC236}">
              <a16:creationId xmlns:a16="http://schemas.microsoft.com/office/drawing/2014/main" id="{6C2B5890-C699-FF81-86B9-49988F5BA28C}"/>
            </a:ext>
          </a:extLst>
        </xdr:cNvPr>
        <xdr:cNvSpPr>
          <a:spLocks noChangeAspect="1" noChangeArrowheads="1"/>
        </xdr:cNvSpPr>
      </xdr:nvSpPr>
      <xdr:spPr bwMode="auto">
        <a:xfrm>
          <a:off x="0" y="7155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190500</xdr:colOff>
      <xdr:row>377</xdr:row>
      <xdr:rowOff>10583</xdr:rowOff>
    </xdr:to>
    <xdr:sp macro="" textlink="">
      <xdr:nvSpPr>
        <xdr:cNvPr id="1866" name="AutoShape 842" descr="Teamlogo">
          <a:extLst>
            <a:ext uri="{FF2B5EF4-FFF2-40B4-BE49-F238E27FC236}">
              <a16:creationId xmlns:a16="http://schemas.microsoft.com/office/drawing/2014/main" id="{237B2FEF-4A85-17F5-2683-6B15FAC86AFE}"/>
            </a:ext>
          </a:extLst>
        </xdr:cNvPr>
        <xdr:cNvSpPr>
          <a:spLocks noChangeAspect="1" noChangeArrowheads="1"/>
        </xdr:cNvSpPr>
      </xdr:nvSpPr>
      <xdr:spPr bwMode="auto">
        <a:xfrm>
          <a:off x="0" y="72275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190500</xdr:colOff>
      <xdr:row>380</xdr:row>
      <xdr:rowOff>10583</xdr:rowOff>
    </xdr:to>
    <xdr:sp macro="" textlink="">
      <xdr:nvSpPr>
        <xdr:cNvPr id="1867" name="AutoShape 843" descr="Teamlogo">
          <a:extLst>
            <a:ext uri="{FF2B5EF4-FFF2-40B4-BE49-F238E27FC236}">
              <a16:creationId xmlns:a16="http://schemas.microsoft.com/office/drawing/2014/main" id="{7C613C6E-3FE7-33EB-CFAF-0709F6D15222}"/>
            </a:ext>
          </a:extLst>
        </xdr:cNvPr>
        <xdr:cNvSpPr>
          <a:spLocks noChangeAspect="1" noChangeArrowheads="1"/>
        </xdr:cNvSpPr>
      </xdr:nvSpPr>
      <xdr:spPr bwMode="auto">
        <a:xfrm>
          <a:off x="0" y="7284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190500</xdr:colOff>
      <xdr:row>383</xdr:row>
      <xdr:rowOff>10583</xdr:rowOff>
    </xdr:to>
    <xdr:sp macro="" textlink="">
      <xdr:nvSpPr>
        <xdr:cNvPr id="1868" name="AutoShape 844" descr="Teamlogo">
          <a:extLst>
            <a:ext uri="{FF2B5EF4-FFF2-40B4-BE49-F238E27FC236}">
              <a16:creationId xmlns:a16="http://schemas.microsoft.com/office/drawing/2014/main" id="{A2166CD8-ED1A-B5F0-EBCC-0DA71BAD570D}"/>
            </a:ext>
          </a:extLst>
        </xdr:cNvPr>
        <xdr:cNvSpPr>
          <a:spLocks noChangeAspect="1" noChangeArrowheads="1"/>
        </xdr:cNvSpPr>
      </xdr:nvSpPr>
      <xdr:spPr bwMode="auto">
        <a:xfrm>
          <a:off x="0" y="73418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190500</xdr:colOff>
      <xdr:row>386</xdr:row>
      <xdr:rowOff>10583</xdr:rowOff>
    </xdr:to>
    <xdr:sp macro="" textlink="">
      <xdr:nvSpPr>
        <xdr:cNvPr id="1869" name="AutoShape 845" descr="Teamlogo">
          <a:extLst>
            <a:ext uri="{FF2B5EF4-FFF2-40B4-BE49-F238E27FC236}">
              <a16:creationId xmlns:a16="http://schemas.microsoft.com/office/drawing/2014/main" id="{1A1B23DA-3434-1A70-0D87-F0CD32CB1304}"/>
            </a:ext>
          </a:extLst>
        </xdr:cNvPr>
        <xdr:cNvSpPr>
          <a:spLocks noChangeAspect="1" noChangeArrowheads="1"/>
        </xdr:cNvSpPr>
      </xdr:nvSpPr>
      <xdr:spPr bwMode="auto">
        <a:xfrm>
          <a:off x="0" y="7399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190500</xdr:colOff>
      <xdr:row>389</xdr:row>
      <xdr:rowOff>10583</xdr:rowOff>
    </xdr:to>
    <xdr:sp macro="" textlink="">
      <xdr:nvSpPr>
        <xdr:cNvPr id="1870" name="AutoShape 846" descr="Teamlogo">
          <a:extLst>
            <a:ext uri="{FF2B5EF4-FFF2-40B4-BE49-F238E27FC236}">
              <a16:creationId xmlns:a16="http://schemas.microsoft.com/office/drawing/2014/main" id="{3C3E3D61-EFAE-77A1-123A-B3491ECB0F1A}"/>
            </a:ext>
          </a:extLst>
        </xdr:cNvPr>
        <xdr:cNvSpPr>
          <a:spLocks noChangeAspect="1" noChangeArrowheads="1"/>
        </xdr:cNvSpPr>
      </xdr:nvSpPr>
      <xdr:spPr bwMode="auto">
        <a:xfrm>
          <a:off x="0" y="74561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190500</xdr:colOff>
      <xdr:row>392</xdr:row>
      <xdr:rowOff>10583</xdr:rowOff>
    </xdr:to>
    <xdr:sp macro="" textlink="">
      <xdr:nvSpPr>
        <xdr:cNvPr id="1871" name="AutoShape 847" descr="Teamlogo">
          <a:extLst>
            <a:ext uri="{FF2B5EF4-FFF2-40B4-BE49-F238E27FC236}">
              <a16:creationId xmlns:a16="http://schemas.microsoft.com/office/drawing/2014/main" id="{26CD711E-AB8F-EB5E-4C70-406FA14D838A}"/>
            </a:ext>
          </a:extLst>
        </xdr:cNvPr>
        <xdr:cNvSpPr>
          <a:spLocks noChangeAspect="1" noChangeArrowheads="1"/>
        </xdr:cNvSpPr>
      </xdr:nvSpPr>
      <xdr:spPr bwMode="auto">
        <a:xfrm>
          <a:off x="0" y="7513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190500</xdr:colOff>
      <xdr:row>395</xdr:row>
      <xdr:rowOff>10583</xdr:rowOff>
    </xdr:to>
    <xdr:sp macro="" textlink="">
      <xdr:nvSpPr>
        <xdr:cNvPr id="1872" name="AutoShape 848" descr="Teamlogo">
          <a:extLst>
            <a:ext uri="{FF2B5EF4-FFF2-40B4-BE49-F238E27FC236}">
              <a16:creationId xmlns:a16="http://schemas.microsoft.com/office/drawing/2014/main" id="{CD608DBC-603A-5E19-529F-356F1C908937}"/>
            </a:ext>
          </a:extLst>
        </xdr:cNvPr>
        <xdr:cNvSpPr>
          <a:spLocks noChangeAspect="1" noChangeArrowheads="1"/>
        </xdr:cNvSpPr>
      </xdr:nvSpPr>
      <xdr:spPr bwMode="auto">
        <a:xfrm>
          <a:off x="0" y="75704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190500</xdr:colOff>
      <xdr:row>398</xdr:row>
      <xdr:rowOff>10583</xdr:rowOff>
    </xdr:to>
    <xdr:sp macro="" textlink="">
      <xdr:nvSpPr>
        <xdr:cNvPr id="1873" name="AutoShape 849" descr="Teamlogo">
          <a:extLst>
            <a:ext uri="{FF2B5EF4-FFF2-40B4-BE49-F238E27FC236}">
              <a16:creationId xmlns:a16="http://schemas.microsoft.com/office/drawing/2014/main" id="{7EAD012D-D393-A02E-4449-74AFE90FD201}"/>
            </a:ext>
          </a:extLst>
        </xdr:cNvPr>
        <xdr:cNvSpPr>
          <a:spLocks noChangeAspect="1" noChangeArrowheads="1"/>
        </xdr:cNvSpPr>
      </xdr:nvSpPr>
      <xdr:spPr bwMode="auto">
        <a:xfrm>
          <a:off x="0" y="7627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190500</xdr:colOff>
      <xdr:row>401</xdr:row>
      <xdr:rowOff>10583</xdr:rowOff>
    </xdr:to>
    <xdr:sp macro="" textlink="">
      <xdr:nvSpPr>
        <xdr:cNvPr id="1874" name="AutoShape 850" descr="Teamlogo">
          <a:extLst>
            <a:ext uri="{FF2B5EF4-FFF2-40B4-BE49-F238E27FC236}">
              <a16:creationId xmlns:a16="http://schemas.microsoft.com/office/drawing/2014/main" id="{49B4EF0B-0A9E-ED98-9173-05C395F86AA2}"/>
            </a:ext>
          </a:extLst>
        </xdr:cNvPr>
        <xdr:cNvSpPr>
          <a:spLocks noChangeAspect="1" noChangeArrowheads="1"/>
        </xdr:cNvSpPr>
      </xdr:nvSpPr>
      <xdr:spPr bwMode="auto">
        <a:xfrm>
          <a:off x="0" y="76847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190500</xdr:colOff>
      <xdr:row>404</xdr:row>
      <xdr:rowOff>10583</xdr:rowOff>
    </xdr:to>
    <xdr:sp macro="" textlink="">
      <xdr:nvSpPr>
        <xdr:cNvPr id="1875" name="AutoShape 851" descr="Teamlogo">
          <a:extLst>
            <a:ext uri="{FF2B5EF4-FFF2-40B4-BE49-F238E27FC236}">
              <a16:creationId xmlns:a16="http://schemas.microsoft.com/office/drawing/2014/main" id="{3E0DF904-D6D7-4A56-BD09-4D07C00F667F}"/>
            </a:ext>
          </a:extLst>
        </xdr:cNvPr>
        <xdr:cNvSpPr>
          <a:spLocks noChangeAspect="1" noChangeArrowheads="1"/>
        </xdr:cNvSpPr>
      </xdr:nvSpPr>
      <xdr:spPr bwMode="auto">
        <a:xfrm>
          <a:off x="0" y="7741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190500</xdr:colOff>
      <xdr:row>407</xdr:row>
      <xdr:rowOff>10583</xdr:rowOff>
    </xdr:to>
    <xdr:sp macro="" textlink="">
      <xdr:nvSpPr>
        <xdr:cNvPr id="1876" name="AutoShape 852" descr="Teamlogo">
          <a:extLst>
            <a:ext uri="{FF2B5EF4-FFF2-40B4-BE49-F238E27FC236}">
              <a16:creationId xmlns:a16="http://schemas.microsoft.com/office/drawing/2014/main" id="{9419C5A0-F335-D80A-09C4-86096735171A}"/>
            </a:ext>
          </a:extLst>
        </xdr:cNvPr>
        <xdr:cNvSpPr>
          <a:spLocks noChangeAspect="1" noChangeArrowheads="1"/>
        </xdr:cNvSpPr>
      </xdr:nvSpPr>
      <xdr:spPr bwMode="auto">
        <a:xfrm>
          <a:off x="0" y="77990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190500</xdr:colOff>
      <xdr:row>410</xdr:row>
      <xdr:rowOff>10583</xdr:rowOff>
    </xdr:to>
    <xdr:sp macro="" textlink="">
      <xdr:nvSpPr>
        <xdr:cNvPr id="1877" name="AutoShape 853" descr="Teamlogo">
          <a:extLst>
            <a:ext uri="{FF2B5EF4-FFF2-40B4-BE49-F238E27FC236}">
              <a16:creationId xmlns:a16="http://schemas.microsoft.com/office/drawing/2014/main" id="{C72AA80F-3F20-5C62-6FD3-66FD9CF40B46}"/>
            </a:ext>
          </a:extLst>
        </xdr:cNvPr>
        <xdr:cNvSpPr>
          <a:spLocks noChangeAspect="1" noChangeArrowheads="1"/>
        </xdr:cNvSpPr>
      </xdr:nvSpPr>
      <xdr:spPr bwMode="auto">
        <a:xfrm>
          <a:off x="0" y="7871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190500</xdr:colOff>
      <xdr:row>413</xdr:row>
      <xdr:rowOff>10583</xdr:rowOff>
    </xdr:to>
    <xdr:sp macro="" textlink="">
      <xdr:nvSpPr>
        <xdr:cNvPr id="1878" name="AutoShape 854" descr="Teamlogo">
          <a:extLst>
            <a:ext uri="{FF2B5EF4-FFF2-40B4-BE49-F238E27FC236}">
              <a16:creationId xmlns:a16="http://schemas.microsoft.com/office/drawing/2014/main" id="{5687F3B5-F634-E1DA-7608-6F4530F0B282}"/>
            </a:ext>
          </a:extLst>
        </xdr:cNvPr>
        <xdr:cNvSpPr>
          <a:spLocks noChangeAspect="1" noChangeArrowheads="1"/>
        </xdr:cNvSpPr>
      </xdr:nvSpPr>
      <xdr:spPr bwMode="auto">
        <a:xfrm>
          <a:off x="0" y="79286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190500</xdr:colOff>
      <xdr:row>416</xdr:row>
      <xdr:rowOff>10583</xdr:rowOff>
    </xdr:to>
    <xdr:sp macro="" textlink="">
      <xdr:nvSpPr>
        <xdr:cNvPr id="1879" name="AutoShape 855" descr="Teamlogo">
          <a:extLst>
            <a:ext uri="{FF2B5EF4-FFF2-40B4-BE49-F238E27FC236}">
              <a16:creationId xmlns:a16="http://schemas.microsoft.com/office/drawing/2014/main" id="{B83E987A-B467-7332-FB2B-04414CEB8564}"/>
            </a:ext>
          </a:extLst>
        </xdr:cNvPr>
        <xdr:cNvSpPr>
          <a:spLocks noChangeAspect="1" noChangeArrowheads="1"/>
        </xdr:cNvSpPr>
      </xdr:nvSpPr>
      <xdr:spPr bwMode="auto">
        <a:xfrm>
          <a:off x="0" y="7985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190500</xdr:colOff>
      <xdr:row>419</xdr:row>
      <xdr:rowOff>10583</xdr:rowOff>
    </xdr:to>
    <xdr:sp macro="" textlink="">
      <xdr:nvSpPr>
        <xdr:cNvPr id="1880" name="AutoShape 856" descr="Teamlogo">
          <a:extLst>
            <a:ext uri="{FF2B5EF4-FFF2-40B4-BE49-F238E27FC236}">
              <a16:creationId xmlns:a16="http://schemas.microsoft.com/office/drawing/2014/main" id="{EBC1A0CA-B189-A6F4-7717-3143B08AF11B}"/>
            </a:ext>
          </a:extLst>
        </xdr:cNvPr>
        <xdr:cNvSpPr>
          <a:spLocks noChangeAspect="1" noChangeArrowheads="1"/>
        </xdr:cNvSpPr>
      </xdr:nvSpPr>
      <xdr:spPr bwMode="auto">
        <a:xfrm>
          <a:off x="0" y="80429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190500</xdr:colOff>
      <xdr:row>422</xdr:row>
      <xdr:rowOff>10583</xdr:rowOff>
    </xdr:to>
    <xdr:sp macro="" textlink="">
      <xdr:nvSpPr>
        <xdr:cNvPr id="1881" name="AutoShape 857" descr="Teamlogo">
          <a:extLst>
            <a:ext uri="{FF2B5EF4-FFF2-40B4-BE49-F238E27FC236}">
              <a16:creationId xmlns:a16="http://schemas.microsoft.com/office/drawing/2014/main" id="{EFA39E1E-0B9F-8AC4-6865-EAC236FF6EF2}"/>
            </a:ext>
          </a:extLst>
        </xdr:cNvPr>
        <xdr:cNvSpPr>
          <a:spLocks noChangeAspect="1" noChangeArrowheads="1"/>
        </xdr:cNvSpPr>
      </xdr:nvSpPr>
      <xdr:spPr bwMode="auto">
        <a:xfrm>
          <a:off x="0" y="81000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190500</xdr:colOff>
      <xdr:row>425</xdr:row>
      <xdr:rowOff>10583</xdr:rowOff>
    </xdr:to>
    <xdr:sp macro="" textlink="">
      <xdr:nvSpPr>
        <xdr:cNvPr id="1882" name="AutoShape 858" descr="Teamlogo">
          <a:extLst>
            <a:ext uri="{FF2B5EF4-FFF2-40B4-BE49-F238E27FC236}">
              <a16:creationId xmlns:a16="http://schemas.microsoft.com/office/drawing/2014/main" id="{7EFAC768-E21C-3359-CF4D-2F3A5A9499D4}"/>
            </a:ext>
          </a:extLst>
        </xdr:cNvPr>
        <xdr:cNvSpPr>
          <a:spLocks noChangeAspect="1" noChangeArrowheads="1"/>
        </xdr:cNvSpPr>
      </xdr:nvSpPr>
      <xdr:spPr bwMode="auto">
        <a:xfrm>
          <a:off x="0" y="81572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190500</xdr:colOff>
      <xdr:row>428</xdr:row>
      <xdr:rowOff>10583</xdr:rowOff>
    </xdr:to>
    <xdr:sp macro="" textlink="">
      <xdr:nvSpPr>
        <xdr:cNvPr id="1883" name="AutoShape 859" descr="Teamlogo">
          <a:extLst>
            <a:ext uri="{FF2B5EF4-FFF2-40B4-BE49-F238E27FC236}">
              <a16:creationId xmlns:a16="http://schemas.microsoft.com/office/drawing/2014/main" id="{131AB235-3C88-6E30-38A8-0FCC1BF8FE12}"/>
            </a:ext>
          </a:extLst>
        </xdr:cNvPr>
        <xdr:cNvSpPr>
          <a:spLocks noChangeAspect="1" noChangeArrowheads="1"/>
        </xdr:cNvSpPr>
      </xdr:nvSpPr>
      <xdr:spPr bwMode="auto">
        <a:xfrm>
          <a:off x="0" y="8214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190500</xdr:colOff>
      <xdr:row>431</xdr:row>
      <xdr:rowOff>10583</xdr:rowOff>
    </xdr:to>
    <xdr:sp macro="" textlink="">
      <xdr:nvSpPr>
        <xdr:cNvPr id="1884" name="AutoShape 860" descr="Teamlogo">
          <a:extLst>
            <a:ext uri="{FF2B5EF4-FFF2-40B4-BE49-F238E27FC236}">
              <a16:creationId xmlns:a16="http://schemas.microsoft.com/office/drawing/2014/main" id="{0166881A-C2BA-4ECD-D8E6-04C245BD0580}"/>
            </a:ext>
          </a:extLst>
        </xdr:cNvPr>
        <xdr:cNvSpPr>
          <a:spLocks noChangeAspect="1" noChangeArrowheads="1"/>
        </xdr:cNvSpPr>
      </xdr:nvSpPr>
      <xdr:spPr bwMode="auto">
        <a:xfrm>
          <a:off x="0" y="82715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190500</xdr:colOff>
      <xdr:row>434</xdr:row>
      <xdr:rowOff>10583</xdr:rowOff>
    </xdr:to>
    <xdr:sp macro="" textlink="">
      <xdr:nvSpPr>
        <xdr:cNvPr id="1885" name="AutoShape 861" descr="Teamlogo">
          <a:extLst>
            <a:ext uri="{FF2B5EF4-FFF2-40B4-BE49-F238E27FC236}">
              <a16:creationId xmlns:a16="http://schemas.microsoft.com/office/drawing/2014/main" id="{7F5878DC-84EE-E1B8-17F8-1E978ED41E62}"/>
            </a:ext>
          </a:extLst>
        </xdr:cNvPr>
        <xdr:cNvSpPr>
          <a:spLocks noChangeAspect="1" noChangeArrowheads="1"/>
        </xdr:cNvSpPr>
      </xdr:nvSpPr>
      <xdr:spPr bwMode="auto">
        <a:xfrm>
          <a:off x="0" y="8328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190500</xdr:colOff>
      <xdr:row>437</xdr:row>
      <xdr:rowOff>10583</xdr:rowOff>
    </xdr:to>
    <xdr:sp macro="" textlink="">
      <xdr:nvSpPr>
        <xdr:cNvPr id="1886" name="AutoShape 862" descr="Teamlogo">
          <a:extLst>
            <a:ext uri="{FF2B5EF4-FFF2-40B4-BE49-F238E27FC236}">
              <a16:creationId xmlns:a16="http://schemas.microsoft.com/office/drawing/2014/main" id="{80354356-3ABA-2D8F-BFCB-D276BEEB2638}"/>
            </a:ext>
          </a:extLst>
        </xdr:cNvPr>
        <xdr:cNvSpPr>
          <a:spLocks noChangeAspect="1" noChangeArrowheads="1"/>
        </xdr:cNvSpPr>
      </xdr:nvSpPr>
      <xdr:spPr bwMode="auto">
        <a:xfrm>
          <a:off x="0" y="83858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190500</xdr:colOff>
      <xdr:row>440</xdr:row>
      <xdr:rowOff>10583</xdr:rowOff>
    </xdr:to>
    <xdr:sp macro="" textlink="">
      <xdr:nvSpPr>
        <xdr:cNvPr id="1887" name="AutoShape 863" descr="Teamlogo">
          <a:extLst>
            <a:ext uri="{FF2B5EF4-FFF2-40B4-BE49-F238E27FC236}">
              <a16:creationId xmlns:a16="http://schemas.microsoft.com/office/drawing/2014/main" id="{69591474-D11E-C0DD-2220-EADA4D2D52EB}"/>
            </a:ext>
          </a:extLst>
        </xdr:cNvPr>
        <xdr:cNvSpPr>
          <a:spLocks noChangeAspect="1" noChangeArrowheads="1"/>
        </xdr:cNvSpPr>
      </xdr:nvSpPr>
      <xdr:spPr bwMode="auto">
        <a:xfrm>
          <a:off x="0" y="8442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190500</xdr:colOff>
      <xdr:row>443</xdr:row>
      <xdr:rowOff>10583</xdr:rowOff>
    </xdr:to>
    <xdr:sp macro="" textlink="">
      <xdr:nvSpPr>
        <xdr:cNvPr id="1888" name="AutoShape 864" descr="Teamlogo">
          <a:extLst>
            <a:ext uri="{FF2B5EF4-FFF2-40B4-BE49-F238E27FC236}">
              <a16:creationId xmlns:a16="http://schemas.microsoft.com/office/drawing/2014/main" id="{20C640CB-924D-A8FF-E88A-4E5A7A3D0474}"/>
            </a:ext>
          </a:extLst>
        </xdr:cNvPr>
        <xdr:cNvSpPr>
          <a:spLocks noChangeAspect="1" noChangeArrowheads="1"/>
        </xdr:cNvSpPr>
      </xdr:nvSpPr>
      <xdr:spPr bwMode="auto">
        <a:xfrm>
          <a:off x="0" y="85001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190500</xdr:colOff>
      <xdr:row>446</xdr:row>
      <xdr:rowOff>10583</xdr:rowOff>
    </xdr:to>
    <xdr:sp macro="" textlink="">
      <xdr:nvSpPr>
        <xdr:cNvPr id="1889" name="AutoShape 865" descr="Teamlogo">
          <a:extLst>
            <a:ext uri="{FF2B5EF4-FFF2-40B4-BE49-F238E27FC236}">
              <a16:creationId xmlns:a16="http://schemas.microsoft.com/office/drawing/2014/main" id="{95CF460E-B920-C932-7F5D-0C2CD0CEDCD7}"/>
            </a:ext>
          </a:extLst>
        </xdr:cNvPr>
        <xdr:cNvSpPr>
          <a:spLocks noChangeAspect="1" noChangeArrowheads="1"/>
        </xdr:cNvSpPr>
      </xdr:nvSpPr>
      <xdr:spPr bwMode="auto">
        <a:xfrm>
          <a:off x="0" y="8557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190500</xdr:colOff>
      <xdr:row>449</xdr:row>
      <xdr:rowOff>10583</xdr:rowOff>
    </xdr:to>
    <xdr:sp macro="" textlink="">
      <xdr:nvSpPr>
        <xdr:cNvPr id="1890" name="AutoShape 866" descr="Teamlogo">
          <a:extLst>
            <a:ext uri="{FF2B5EF4-FFF2-40B4-BE49-F238E27FC236}">
              <a16:creationId xmlns:a16="http://schemas.microsoft.com/office/drawing/2014/main" id="{C2059CC9-406D-3786-4CD4-8932C271915E}"/>
            </a:ext>
          </a:extLst>
        </xdr:cNvPr>
        <xdr:cNvSpPr>
          <a:spLocks noChangeAspect="1" noChangeArrowheads="1"/>
        </xdr:cNvSpPr>
      </xdr:nvSpPr>
      <xdr:spPr bwMode="auto">
        <a:xfrm>
          <a:off x="0" y="86144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190500</xdr:colOff>
      <xdr:row>452</xdr:row>
      <xdr:rowOff>10583</xdr:rowOff>
    </xdr:to>
    <xdr:sp macro="" textlink="">
      <xdr:nvSpPr>
        <xdr:cNvPr id="1891" name="AutoShape 867" descr="Teamlogo">
          <a:extLst>
            <a:ext uri="{FF2B5EF4-FFF2-40B4-BE49-F238E27FC236}">
              <a16:creationId xmlns:a16="http://schemas.microsoft.com/office/drawing/2014/main" id="{B9DBF04C-C01B-F144-CAE5-FF7FF07AEFE5}"/>
            </a:ext>
          </a:extLst>
        </xdr:cNvPr>
        <xdr:cNvSpPr>
          <a:spLocks noChangeAspect="1" noChangeArrowheads="1"/>
        </xdr:cNvSpPr>
      </xdr:nvSpPr>
      <xdr:spPr bwMode="auto">
        <a:xfrm>
          <a:off x="0" y="8671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190500</xdr:colOff>
      <xdr:row>455</xdr:row>
      <xdr:rowOff>10583</xdr:rowOff>
    </xdr:to>
    <xdr:sp macro="" textlink="">
      <xdr:nvSpPr>
        <xdr:cNvPr id="1892" name="AutoShape 868" descr="Teamlogo">
          <a:extLst>
            <a:ext uri="{FF2B5EF4-FFF2-40B4-BE49-F238E27FC236}">
              <a16:creationId xmlns:a16="http://schemas.microsoft.com/office/drawing/2014/main" id="{C61FF4C8-8A47-2E96-B2AD-AFCFE0ACBC8B}"/>
            </a:ext>
          </a:extLst>
        </xdr:cNvPr>
        <xdr:cNvSpPr>
          <a:spLocks noChangeAspect="1" noChangeArrowheads="1"/>
        </xdr:cNvSpPr>
      </xdr:nvSpPr>
      <xdr:spPr bwMode="auto">
        <a:xfrm>
          <a:off x="0" y="87287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190500</xdr:colOff>
      <xdr:row>458</xdr:row>
      <xdr:rowOff>10583</xdr:rowOff>
    </xdr:to>
    <xdr:sp macro="" textlink="">
      <xdr:nvSpPr>
        <xdr:cNvPr id="1893" name="AutoShape 869" descr="Teamlogo">
          <a:extLst>
            <a:ext uri="{FF2B5EF4-FFF2-40B4-BE49-F238E27FC236}">
              <a16:creationId xmlns:a16="http://schemas.microsoft.com/office/drawing/2014/main" id="{09EE3073-AD01-12BB-619A-6BE52F0DEBCC}"/>
            </a:ext>
          </a:extLst>
        </xdr:cNvPr>
        <xdr:cNvSpPr>
          <a:spLocks noChangeAspect="1" noChangeArrowheads="1"/>
        </xdr:cNvSpPr>
      </xdr:nvSpPr>
      <xdr:spPr bwMode="auto">
        <a:xfrm>
          <a:off x="0" y="8785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190500</xdr:colOff>
      <xdr:row>461</xdr:row>
      <xdr:rowOff>10583</xdr:rowOff>
    </xdr:to>
    <xdr:sp macro="" textlink="">
      <xdr:nvSpPr>
        <xdr:cNvPr id="1894" name="AutoShape 870" descr="Teamlogo">
          <a:extLst>
            <a:ext uri="{FF2B5EF4-FFF2-40B4-BE49-F238E27FC236}">
              <a16:creationId xmlns:a16="http://schemas.microsoft.com/office/drawing/2014/main" id="{ED6F765E-0DED-E2D0-2599-D8924961F40E}"/>
            </a:ext>
          </a:extLst>
        </xdr:cNvPr>
        <xdr:cNvSpPr>
          <a:spLocks noChangeAspect="1" noChangeArrowheads="1"/>
        </xdr:cNvSpPr>
      </xdr:nvSpPr>
      <xdr:spPr bwMode="auto">
        <a:xfrm>
          <a:off x="0" y="88430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190500</xdr:colOff>
      <xdr:row>464</xdr:row>
      <xdr:rowOff>10583</xdr:rowOff>
    </xdr:to>
    <xdr:sp macro="" textlink="">
      <xdr:nvSpPr>
        <xdr:cNvPr id="1895" name="AutoShape 871" descr="Teamlogo">
          <a:extLst>
            <a:ext uri="{FF2B5EF4-FFF2-40B4-BE49-F238E27FC236}">
              <a16:creationId xmlns:a16="http://schemas.microsoft.com/office/drawing/2014/main" id="{021C7B6E-258D-D7F4-FC09-62BFE73548CA}"/>
            </a:ext>
          </a:extLst>
        </xdr:cNvPr>
        <xdr:cNvSpPr>
          <a:spLocks noChangeAspect="1" noChangeArrowheads="1"/>
        </xdr:cNvSpPr>
      </xdr:nvSpPr>
      <xdr:spPr bwMode="auto">
        <a:xfrm>
          <a:off x="0" y="8900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190500</xdr:colOff>
      <xdr:row>467</xdr:row>
      <xdr:rowOff>10583</xdr:rowOff>
    </xdr:to>
    <xdr:sp macro="" textlink="">
      <xdr:nvSpPr>
        <xdr:cNvPr id="1896" name="AutoShape 872" descr="Teamlogo">
          <a:extLst>
            <a:ext uri="{FF2B5EF4-FFF2-40B4-BE49-F238E27FC236}">
              <a16:creationId xmlns:a16="http://schemas.microsoft.com/office/drawing/2014/main" id="{2965BE03-7301-1535-CF3E-1DE954F8F3A1}"/>
            </a:ext>
          </a:extLst>
        </xdr:cNvPr>
        <xdr:cNvSpPr>
          <a:spLocks noChangeAspect="1" noChangeArrowheads="1"/>
        </xdr:cNvSpPr>
      </xdr:nvSpPr>
      <xdr:spPr bwMode="auto">
        <a:xfrm>
          <a:off x="0" y="89573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190500</xdr:colOff>
      <xdr:row>470</xdr:row>
      <xdr:rowOff>10583</xdr:rowOff>
    </xdr:to>
    <xdr:sp macro="" textlink="">
      <xdr:nvSpPr>
        <xdr:cNvPr id="1897" name="AutoShape 873" descr="Teamlogo">
          <a:extLst>
            <a:ext uri="{FF2B5EF4-FFF2-40B4-BE49-F238E27FC236}">
              <a16:creationId xmlns:a16="http://schemas.microsoft.com/office/drawing/2014/main" id="{6FFC8DA3-2525-EB72-93A2-3FDB6E35D4C8}"/>
            </a:ext>
          </a:extLst>
        </xdr:cNvPr>
        <xdr:cNvSpPr>
          <a:spLocks noChangeAspect="1" noChangeArrowheads="1"/>
        </xdr:cNvSpPr>
      </xdr:nvSpPr>
      <xdr:spPr bwMode="auto">
        <a:xfrm>
          <a:off x="0" y="9014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190500</xdr:colOff>
      <xdr:row>473</xdr:row>
      <xdr:rowOff>10583</xdr:rowOff>
    </xdr:to>
    <xdr:sp macro="" textlink="">
      <xdr:nvSpPr>
        <xdr:cNvPr id="1898" name="AutoShape 874" descr="Teamlogo">
          <a:extLst>
            <a:ext uri="{FF2B5EF4-FFF2-40B4-BE49-F238E27FC236}">
              <a16:creationId xmlns:a16="http://schemas.microsoft.com/office/drawing/2014/main" id="{0F130F2D-D854-3B41-D91E-73D262E863A5}"/>
            </a:ext>
          </a:extLst>
        </xdr:cNvPr>
        <xdr:cNvSpPr>
          <a:spLocks noChangeAspect="1" noChangeArrowheads="1"/>
        </xdr:cNvSpPr>
      </xdr:nvSpPr>
      <xdr:spPr bwMode="auto">
        <a:xfrm>
          <a:off x="0" y="90716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190500</xdr:colOff>
      <xdr:row>476</xdr:row>
      <xdr:rowOff>10583</xdr:rowOff>
    </xdr:to>
    <xdr:sp macro="" textlink="">
      <xdr:nvSpPr>
        <xdr:cNvPr id="1899" name="AutoShape 875" descr="Teamlogo">
          <a:extLst>
            <a:ext uri="{FF2B5EF4-FFF2-40B4-BE49-F238E27FC236}">
              <a16:creationId xmlns:a16="http://schemas.microsoft.com/office/drawing/2014/main" id="{4C1D462D-E6F6-09DB-BB6F-9B4C98B0F553}"/>
            </a:ext>
          </a:extLst>
        </xdr:cNvPr>
        <xdr:cNvSpPr>
          <a:spLocks noChangeAspect="1" noChangeArrowheads="1"/>
        </xdr:cNvSpPr>
      </xdr:nvSpPr>
      <xdr:spPr bwMode="auto">
        <a:xfrm>
          <a:off x="0" y="9128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190500</xdr:colOff>
      <xdr:row>479</xdr:row>
      <xdr:rowOff>10583</xdr:rowOff>
    </xdr:to>
    <xdr:sp macro="" textlink="">
      <xdr:nvSpPr>
        <xdr:cNvPr id="1900" name="AutoShape 876" descr="Teamlogo">
          <a:extLst>
            <a:ext uri="{FF2B5EF4-FFF2-40B4-BE49-F238E27FC236}">
              <a16:creationId xmlns:a16="http://schemas.microsoft.com/office/drawing/2014/main" id="{A27030F2-FD21-7160-2F93-FCF6DB709DE9}"/>
            </a:ext>
          </a:extLst>
        </xdr:cNvPr>
        <xdr:cNvSpPr>
          <a:spLocks noChangeAspect="1" noChangeArrowheads="1"/>
        </xdr:cNvSpPr>
      </xdr:nvSpPr>
      <xdr:spPr bwMode="auto">
        <a:xfrm>
          <a:off x="0" y="91859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190500</xdr:colOff>
      <xdr:row>482</xdr:row>
      <xdr:rowOff>10583</xdr:rowOff>
    </xdr:to>
    <xdr:sp macro="" textlink="">
      <xdr:nvSpPr>
        <xdr:cNvPr id="1901" name="AutoShape 877" descr="Teamlogo">
          <a:extLst>
            <a:ext uri="{FF2B5EF4-FFF2-40B4-BE49-F238E27FC236}">
              <a16:creationId xmlns:a16="http://schemas.microsoft.com/office/drawing/2014/main" id="{329BC930-D540-D10E-A16F-2DBC9FDA4957}"/>
            </a:ext>
          </a:extLst>
        </xdr:cNvPr>
        <xdr:cNvSpPr>
          <a:spLocks noChangeAspect="1" noChangeArrowheads="1"/>
        </xdr:cNvSpPr>
      </xdr:nvSpPr>
      <xdr:spPr bwMode="auto">
        <a:xfrm>
          <a:off x="0" y="92430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190500</xdr:colOff>
      <xdr:row>485</xdr:row>
      <xdr:rowOff>10583</xdr:rowOff>
    </xdr:to>
    <xdr:sp macro="" textlink="">
      <xdr:nvSpPr>
        <xdr:cNvPr id="1902" name="AutoShape 878" descr="Teamlogo">
          <a:extLst>
            <a:ext uri="{FF2B5EF4-FFF2-40B4-BE49-F238E27FC236}">
              <a16:creationId xmlns:a16="http://schemas.microsoft.com/office/drawing/2014/main" id="{3938BBF7-150F-0413-51B7-4A4A2011250F}"/>
            </a:ext>
          </a:extLst>
        </xdr:cNvPr>
        <xdr:cNvSpPr>
          <a:spLocks noChangeAspect="1" noChangeArrowheads="1"/>
        </xdr:cNvSpPr>
      </xdr:nvSpPr>
      <xdr:spPr bwMode="auto">
        <a:xfrm>
          <a:off x="0" y="93002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190500</xdr:colOff>
      <xdr:row>488</xdr:row>
      <xdr:rowOff>10583</xdr:rowOff>
    </xdr:to>
    <xdr:sp macro="" textlink="">
      <xdr:nvSpPr>
        <xdr:cNvPr id="1903" name="AutoShape 879" descr="Teamlogo">
          <a:extLst>
            <a:ext uri="{FF2B5EF4-FFF2-40B4-BE49-F238E27FC236}">
              <a16:creationId xmlns:a16="http://schemas.microsoft.com/office/drawing/2014/main" id="{F36AD850-63F6-524D-F2DB-DB6DABBC4C3D}"/>
            </a:ext>
          </a:extLst>
        </xdr:cNvPr>
        <xdr:cNvSpPr>
          <a:spLocks noChangeAspect="1" noChangeArrowheads="1"/>
        </xdr:cNvSpPr>
      </xdr:nvSpPr>
      <xdr:spPr bwMode="auto">
        <a:xfrm>
          <a:off x="0" y="9357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190500</xdr:colOff>
      <xdr:row>491</xdr:row>
      <xdr:rowOff>10583</xdr:rowOff>
    </xdr:to>
    <xdr:sp macro="" textlink="">
      <xdr:nvSpPr>
        <xdr:cNvPr id="1904" name="AutoShape 880" descr="Teamlogo">
          <a:extLst>
            <a:ext uri="{FF2B5EF4-FFF2-40B4-BE49-F238E27FC236}">
              <a16:creationId xmlns:a16="http://schemas.microsoft.com/office/drawing/2014/main" id="{73046254-DAD5-2EC4-0958-EC8EB6FCDC39}"/>
            </a:ext>
          </a:extLst>
        </xdr:cNvPr>
        <xdr:cNvSpPr>
          <a:spLocks noChangeAspect="1" noChangeArrowheads="1"/>
        </xdr:cNvSpPr>
      </xdr:nvSpPr>
      <xdr:spPr bwMode="auto">
        <a:xfrm>
          <a:off x="0" y="94145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190500</xdr:colOff>
      <xdr:row>494</xdr:row>
      <xdr:rowOff>10583</xdr:rowOff>
    </xdr:to>
    <xdr:sp macro="" textlink="">
      <xdr:nvSpPr>
        <xdr:cNvPr id="1905" name="AutoShape 881" descr="Teamlogo">
          <a:extLst>
            <a:ext uri="{FF2B5EF4-FFF2-40B4-BE49-F238E27FC236}">
              <a16:creationId xmlns:a16="http://schemas.microsoft.com/office/drawing/2014/main" id="{846A092E-8E23-C0C4-087F-9C642A731626}"/>
            </a:ext>
          </a:extLst>
        </xdr:cNvPr>
        <xdr:cNvSpPr>
          <a:spLocks noChangeAspect="1" noChangeArrowheads="1"/>
        </xdr:cNvSpPr>
      </xdr:nvSpPr>
      <xdr:spPr bwMode="auto">
        <a:xfrm>
          <a:off x="0" y="9471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190500</xdr:colOff>
      <xdr:row>497</xdr:row>
      <xdr:rowOff>10583</xdr:rowOff>
    </xdr:to>
    <xdr:sp macro="" textlink="">
      <xdr:nvSpPr>
        <xdr:cNvPr id="1906" name="AutoShape 882" descr="Teamlogo">
          <a:extLst>
            <a:ext uri="{FF2B5EF4-FFF2-40B4-BE49-F238E27FC236}">
              <a16:creationId xmlns:a16="http://schemas.microsoft.com/office/drawing/2014/main" id="{3E3FFCA8-EBFF-7006-EC6D-C62BA52932FF}"/>
            </a:ext>
          </a:extLst>
        </xdr:cNvPr>
        <xdr:cNvSpPr>
          <a:spLocks noChangeAspect="1" noChangeArrowheads="1"/>
        </xdr:cNvSpPr>
      </xdr:nvSpPr>
      <xdr:spPr bwMode="auto">
        <a:xfrm>
          <a:off x="0" y="95288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190500</xdr:colOff>
      <xdr:row>500</xdr:row>
      <xdr:rowOff>10583</xdr:rowOff>
    </xdr:to>
    <xdr:sp macro="" textlink="">
      <xdr:nvSpPr>
        <xdr:cNvPr id="1907" name="AutoShape 883" descr="Teamlogo">
          <a:extLst>
            <a:ext uri="{FF2B5EF4-FFF2-40B4-BE49-F238E27FC236}">
              <a16:creationId xmlns:a16="http://schemas.microsoft.com/office/drawing/2014/main" id="{3652D9BB-476D-3FC3-857B-50031A14B40C}"/>
            </a:ext>
          </a:extLst>
        </xdr:cNvPr>
        <xdr:cNvSpPr>
          <a:spLocks noChangeAspect="1" noChangeArrowheads="1"/>
        </xdr:cNvSpPr>
      </xdr:nvSpPr>
      <xdr:spPr bwMode="auto">
        <a:xfrm>
          <a:off x="0" y="9585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190500</xdr:colOff>
      <xdr:row>503</xdr:row>
      <xdr:rowOff>10583</xdr:rowOff>
    </xdr:to>
    <xdr:sp macro="" textlink="">
      <xdr:nvSpPr>
        <xdr:cNvPr id="1908" name="AutoShape 884" descr="Teamlogo">
          <a:extLst>
            <a:ext uri="{FF2B5EF4-FFF2-40B4-BE49-F238E27FC236}">
              <a16:creationId xmlns:a16="http://schemas.microsoft.com/office/drawing/2014/main" id="{C07B5A46-192C-B620-F5B1-14D8D55C6635}"/>
            </a:ext>
          </a:extLst>
        </xdr:cNvPr>
        <xdr:cNvSpPr>
          <a:spLocks noChangeAspect="1" noChangeArrowheads="1"/>
        </xdr:cNvSpPr>
      </xdr:nvSpPr>
      <xdr:spPr bwMode="auto">
        <a:xfrm>
          <a:off x="0" y="96431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190500</xdr:colOff>
      <xdr:row>506</xdr:row>
      <xdr:rowOff>10583</xdr:rowOff>
    </xdr:to>
    <xdr:sp macro="" textlink="">
      <xdr:nvSpPr>
        <xdr:cNvPr id="1909" name="AutoShape 885" descr="Teamlogo">
          <a:extLst>
            <a:ext uri="{FF2B5EF4-FFF2-40B4-BE49-F238E27FC236}">
              <a16:creationId xmlns:a16="http://schemas.microsoft.com/office/drawing/2014/main" id="{AB35A3E2-DCC2-872D-EC29-183CD110ED98}"/>
            </a:ext>
          </a:extLst>
        </xdr:cNvPr>
        <xdr:cNvSpPr>
          <a:spLocks noChangeAspect="1" noChangeArrowheads="1"/>
        </xdr:cNvSpPr>
      </xdr:nvSpPr>
      <xdr:spPr bwMode="auto">
        <a:xfrm>
          <a:off x="0" y="9700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190500</xdr:colOff>
      <xdr:row>509</xdr:row>
      <xdr:rowOff>10583</xdr:rowOff>
    </xdr:to>
    <xdr:sp macro="" textlink="">
      <xdr:nvSpPr>
        <xdr:cNvPr id="1910" name="AutoShape 886" descr="Teamlogo">
          <a:extLst>
            <a:ext uri="{FF2B5EF4-FFF2-40B4-BE49-F238E27FC236}">
              <a16:creationId xmlns:a16="http://schemas.microsoft.com/office/drawing/2014/main" id="{1017B5C0-AB06-AC98-73D9-AF422B74FFD3}"/>
            </a:ext>
          </a:extLst>
        </xdr:cNvPr>
        <xdr:cNvSpPr>
          <a:spLocks noChangeAspect="1" noChangeArrowheads="1"/>
        </xdr:cNvSpPr>
      </xdr:nvSpPr>
      <xdr:spPr bwMode="auto">
        <a:xfrm>
          <a:off x="0" y="97574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190500</xdr:colOff>
      <xdr:row>512</xdr:row>
      <xdr:rowOff>10583</xdr:rowOff>
    </xdr:to>
    <xdr:sp macro="" textlink="">
      <xdr:nvSpPr>
        <xdr:cNvPr id="1911" name="AutoShape 887" descr="Teamlogo">
          <a:extLst>
            <a:ext uri="{FF2B5EF4-FFF2-40B4-BE49-F238E27FC236}">
              <a16:creationId xmlns:a16="http://schemas.microsoft.com/office/drawing/2014/main" id="{4773BAAE-218C-3D59-79DB-4275FE75E386}"/>
            </a:ext>
          </a:extLst>
        </xdr:cNvPr>
        <xdr:cNvSpPr>
          <a:spLocks noChangeAspect="1" noChangeArrowheads="1"/>
        </xdr:cNvSpPr>
      </xdr:nvSpPr>
      <xdr:spPr bwMode="auto">
        <a:xfrm>
          <a:off x="0" y="982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190500</xdr:colOff>
      <xdr:row>515</xdr:row>
      <xdr:rowOff>10583</xdr:rowOff>
    </xdr:to>
    <xdr:sp macro="" textlink="">
      <xdr:nvSpPr>
        <xdr:cNvPr id="1912" name="AutoShape 888" descr="Teamlogo">
          <a:extLst>
            <a:ext uri="{FF2B5EF4-FFF2-40B4-BE49-F238E27FC236}">
              <a16:creationId xmlns:a16="http://schemas.microsoft.com/office/drawing/2014/main" id="{FB1D994F-45FB-5627-B47F-75336A742C25}"/>
            </a:ext>
          </a:extLst>
        </xdr:cNvPr>
        <xdr:cNvSpPr>
          <a:spLocks noChangeAspect="1" noChangeArrowheads="1"/>
        </xdr:cNvSpPr>
      </xdr:nvSpPr>
      <xdr:spPr bwMode="auto">
        <a:xfrm>
          <a:off x="0" y="988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190500</xdr:colOff>
      <xdr:row>518</xdr:row>
      <xdr:rowOff>10583</xdr:rowOff>
    </xdr:to>
    <xdr:sp macro="" textlink="">
      <xdr:nvSpPr>
        <xdr:cNvPr id="1913" name="AutoShape 889" descr="Teamlogo">
          <a:extLst>
            <a:ext uri="{FF2B5EF4-FFF2-40B4-BE49-F238E27FC236}">
              <a16:creationId xmlns:a16="http://schemas.microsoft.com/office/drawing/2014/main" id="{BB1BDA14-FAA6-2F12-DCD6-66625FC59CE5}"/>
            </a:ext>
          </a:extLst>
        </xdr:cNvPr>
        <xdr:cNvSpPr>
          <a:spLocks noChangeAspect="1" noChangeArrowheads="1"/>
        </xdr:cNvSpPr>
      </xdr:nvSpPr>
      <xdr:spPr bwMode="auto">
        <a:xfrm>
          <a:off x="0" y="994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190500</xdr:colOff>
      <xdr:row>521</xdr:row>
      <xdr:rowOff>10583</xdr:rowOff>
    </xdr:to>
    <xdr:sp macro="" textlink="">
      <xdr:nvSpPr>
        <xdr:cNvPr id="1914" name="AutoShape 890" descr="Teamlogo">
          <a:extLst>
            <a:ext uri="{FF2B5EF4-FFF2-40B4-BE49-F238E27FC236}">
              <a16:creationId xmlns:a16="http://schemas.microsoft.com/office/drawing/2014/main" id="{1EC1898C-E4DB-1BED-CFE6-FFADA731E449}"/>
            </a:ext>
          </a:extLst>
        </xdr:cNvPr>
        <xdr:cNvSpPr>
          <a:spLocks noChangeAspect="1" noChangeArrowheads="1"/>
        </xdr:cNvSpPr>
      </xdr:nvSpPr>
      <xdr:spPr bwMode="auto">
        <a:xfrm>
          <a:off x="0" y="10016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190500</xdr:colOff>
      <xdr:row>524</xdr:row>
      <xdr:rowOff>10583</xdr:rowOff>
    </xdr:to>
    <xdr:sp macro="" textlink="">
      <xdr:nvSpPr>
        <xdr:cNvPr id="1915" name="AutoShape 891" descr="Teamlogo">
          <a:extLst>
            <a:ext uri="{FF2B5EF4-FFF2-40B4-BE49-F238E27FC236}">
              <a16:creationId xmlns:a16="http://schemas.microsoft.com/office/drawing/2014/main" id="{1393D050-A55B-34B4-32D2-C81552CFED7C}"/>
            </a:ext>
          </a:extLst>
        </xdr:cNvPr>
        <xdr:cNvSpPr>
          <a:spLocks noChangeAspect="1" noChangeArrowheads="1"/>
        </xdr:cNvSpPr>
      </xdr:nvSpPr>
      <xdr:spPr bwMode="auto">
        <a:xfrm>
          <a:off x="0" y="10073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190500</xdr:colOff>
      <xdr:row>527</xdr:row>
      <xdr:rowOff>10583</xdr:rowOff>
    </xdr:to>
    <xdr:sp macro="" textlink="">
      <xdr:nvSpPr>
        <xdr:cNvPr id="1916" name="AutoShape 892" descr="Teamlogo">
          <a:extLst>
            <a:ext uri="{FF2B5EF4-FFF2-40B4-BE49-F238E27FC236}">
              <a16:creationId xmlns:a16="http://schemas.microsoft.com/office/drawing/2014/main" id="{19F5B273-793B-57F3-7705-CC296A88E038}"/>
            </a:ext>
          </a:extLst>
        </xdr:cNvPr>
        <xdr:cNvSpPr>
          <a:spLocks noChangeAspect="1" noChangeArrowheads="1"/>
        </xdr:cNvSpPr>
      </xdr:nvSpPr>
      <xdr:spPr bwMode="auto">
        <a:xfrm>
          <a:off x="0" y="101307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190500</xdr:colOff>
      <xdr:row>530</xdr:row>
      <xdr:rowOff>10583</xdr:rowOff>
    </xdr:to>
    <xdr:sp macro="" textlink="">
      <xdr:nvSpPr>
        <xdr:cNvPr id="1917" name="AutoShape 893" descr="Teamlogo">
          <a:extLst>
            <a:ext uri="{FF2B5EF4-FFF2-40B4-BE49-F238E27FC236}">
              <a16:creationId xmlns:a16="http://schemas.microsoft.com/office/drawing/2014/main" id="{2384717C-DB76-E26C-8678-F5D2FABD4D34}"/>
            </a:ext>
          </a:extLst>
        </xdr:cNvPr>
        <xdr:cNvSpPr>
          <a:spLocks noChangeAspect="1" noChangeArrowheads="1"/>
        </xdr:cNvSpPr>
      </xdr:nvSpPr>
      <xdr:spPr bwMode="auto">
        <a:xfrm>
          <a:off x="0" y="10187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190500</xdr:colOff>
      <xdr:row>533</xdr:row>
      <xdr:rowOff>10583</xdr:rowOff>
    </xdr:to>
    <xdr:sp macro="" textlink="">
      <xdr:nvSpPr>
        <xdr:cNvPr id="1918" name="AutoShape 894" descr="Teamlogo">
          <a:extLst>
            <a:ext uri="{FF2B5EF4-FFF2-40B4-BE49-F238E27FC236}">
              <a16:creationId xmlns:a16="http://schemas.microsoft.com/office/drawing/2014/main" id="{C18190BA-6B52-0654-1081-7A7B524613F9}"/>
            </a:ext>
          </a:extLst>
        </xdr:cNvPr>
        <xdr:cNvSpPr>
          <a:spLocks noChangeAspect="1" noChangeArrowheads="1"/>
        </xdr:cNvSpPr>
      </xdr:nvSpPr>
      <xdr:spPr bwMode="auto">
        <a:xfrm>
          <a:off x="0" y="102450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190500</xdr:colOff>
      <xdr:row>536</xdr:row>
      <xdr:rowOff>10583</xdr:rowOff>
    </xdr:to>
    <xdr:sp macro="" textlink="">
      <xdr:nvSpPr>
        <xdr:cNvPr id="1919" name="AutoShape 895" descr="Teamlogo">
          <a:extLst>
            <a:ext uri="{FF2B5EF4-FFF2-40B4-BE49-F238E27FC236}">
              <a16:creationId xmlns:a16="http://schemas.microsoft.com/office/drawing/2014/main" id="{653DFE94-8408-8212-2F0D-1FA153122FDC}"/>
            </a:ext>
          </a:extLst>
        </xdr:cNvPr>
        <xdr:cNvSpPr>
          <a:spLocks noChangeAspect="1" noChangeArrowheads="1"/>
        </xdr:cNvSpPr>
      </xdr:nvSpPr>
      <xdr:spPr bwMode="auto">
        <a:xfrm>
          <a:off x="0" y="10302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190500</xdr:colOff>
      <xdr:row>539</xdr:row>
      <xdr:rowOff>10583</xdr:rowOff>
    </xdr:to>
    <xdr:sp macro="" textlink="">
      <xdr:nvSpPr>
        <xdr:cNvPr id="1920" name="AutoShape 896" descr="Teamlogo">
          <a:extLst>
            <a:ext uri="{FF2B5EF4-FFF2-40B4-BE49-F238E27FC236}">
              <a16:creationId xmlns:a16="http://schemas.microsoft.com/office/drawing/2014/main" id="{ED52BC9E-F16E-D4F8-4F75-79DD98749EBA}"/>
            </a:ext>
          </a:extLst>
        </xdr:cNvPr>
        <xdr:cNvSpPr>
          <a:spLocks noChangeAspect="1" noChangeArrowheads="1"/>
        </xdr:cNvSpPr>
      </xdr:nvSpPr>
      <xdr:spPr bwMode="auto">
        <a:xfrm>
          <a:off x="0" y="103593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190500</xdr:colOff>
      <xdr:row>542</xdr:row>
      <xdr:rowOff>10583</xdr:rowOff>
    </xdr:to>
    <xdr:sp macro="" textlink="">
      <xdr:nvSpPr>
        <xdr:cNvPr id="1921" name="AutoShape 897" descr="Teamlogo">
          <a:extLst>
            <a:ext uri="{FF2B5EF4-FFF2-40B4-BE49-F238E27FC236}">
              <a16:creationId xmlns:a16="http://schemas.microsoft.com/office/drawing/2014/main" id="{7BF20E06-84E0-FCD1-E2F9-0F518542E9E0}"/>
            </a:ext>
          </a:extLst>
        </xdr:cNvPr>
        <xdr:cNvSpPr>
          <a:spLocks noChangeAspect="1" noChangeArrowheads="1"/>
        </xdr:cNvSpPr>
      </xdr:nvSpPr>
      <xdr:spPr bwMode="auto">
        <a:xfrm>
          <a:off x="0" y="10416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190500</xdr:colOff>
      <xdr:row>545</xdr:row>
      <xdr:rowOff>10583</xdr:rowOff>
    </xdr:to>
    <xdr:sp macro="" textlink="">
      <xdr:nvSpPr>
        <xdr:cNvPr id="1922" name="AutoShape 898" descr="Teamlogo">
          <a:extLst>
            <a:ext uri="{FF2B5EF4-FFF2-40B4-BE49-F238E27FC236}">
              <a16:creationId xmlns:a16="http://schemas.microsoft.com/office/drawing/2014/main" id="{02524E65-75E6-F899-E149-56A8EB63948D}"/>
            </a:ext>
          </a:extLst>
        </xdr:cNvPr>
        <xdr:cNvSpPr>
          <a:spLocks noChangeAspect="1" noChangeArrowheads="1"/>
        </xdr:cNvSpPr>
      </xdr:nvSpPr>
      <xdr:spPr bwMode="auto">
        <a:xfrm>
          <a:off x="0" y="104736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190500</xdr:colOff>
      <xdr:row>548</xdr:row>
      <xdr:rowOff>10583</xdr:rowOff>
    </xdr:to>
    <xdr:sp macro="" textlink="">
      <xdr:nvSpPr>
        <xdr:cNvPr id="1923" name="AutoShape 899" descr="Teamlogo">
          <a:extLst>
            <a:ext uri="{FF2B5EF4-FFF2-40B4-BE49-F238E27FC236}">
              <a16:creationId xmlns:a16="http://schemas.microsoft.com/office/drawing/2014/main" id="{1B03FA7B-2C39-6C6F-3EDD-3EDDD8811F10}"/>
            </a:ext>
          </a:extLst>
        </xdr:cNvPr>
        <xdr:cNvSpPr>
          <a:spLocks noChangeAspect="1" noChangeArrowheads="1"/>
        </xdr:cNvSpPr>
      </xdr:nvSpPr>
      <xdr:spPr bwMode="auto">
        <a:xfrm>
          <a:off x="0" y="10530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190500</xdr:colOff>
      <xdr:row>551</xdr:row>
      <xdr:rowOff>10583</xdr:rowOff>
    </xdr:to>
    <xdr:sp macro="" textlink="">
      <xdr:nvSpPr>
        <xdr:cNvPr id="1924" name="AutoShape 900" descr="Teamlogo">
          <a:extLst>
            <a:ext uri="{FF2B5EF4-FFF2-40B4-BE49-F238E27FC236}">
              <a16:creationId xmlns:a16="http://schemas.microsoft.com/office/drawing/2014/main" id="{591AFEC9-7F2A-C534-7032-3D11678B1A01}"/>
            </a:ext>
          </a:extLst>
        </xdr:cNvPr>
        <xdr:cNvSpPr>
          <a:spLocks noChangeAspect="1" noChangeArrowheads="1"/>
        </xdr:cNvSpPr>
      </xdr:nvSpPr>
      <xdr:spPr bwMode="auto">
        <a:xfrm>
          <a:off x="0" y="105879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190500</xdr:colOff>
      <xdr:row>554</xdr:row>
      <xdr:rowOff>10583</xdr:rowOff>
    </xdr:to>
    <xdr:sp macro="" textlink="">
      <xdr:nvSpPr>
        <xdr:cNvPr id="1925" name="AutoShape 901" descr="Teamlogo">
          <a:extLst>
            <a:ext uri="{FF2B5EF4-FFF2-40B4-BE49-F238E27FC236}">
              <a16:creationId xmlns:a16="http://schemas.microsoft.com/office/drawing/2014/main" id="{E7AAC31A-7509-8FD2-B368-D564D3D728CF}"/>
            </a:ext>
          </a:extLst>
        </xdr:cNvPr>
        <xdr:cNvSpPr>
          <a:spLocks noChangeAspect="1" noChangeArrowheads="1"/>
        </xdr:cNvSpPr>
      </xdr:nvSpPr>
      <xdr:spPr bwMode="auto">
        <a:xfrm>
          <a:off x="0" y="10660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190500</xdr:colOff>
      <xdr:row>557</xdr:row>
      <xdr:rowOff>10583</xdr:rowOff>
    </xdr:to>
    <xdr:sp macro="" textlink="">
      <xdr:nvSpPr>
        <xdr:cNvPr id="1926" name="AutoShape 902" descr="Teamlogo">
          <a:extLst>
            <a:ext uri="{FF2B5EF4-FFF2-40B4-BE49-F238E27FC236}">
              <a16:creationId xmlns:a16="http://schemas.microsoft.com/office/drawing/2014/main" id="{258A39D9-EC85-895E-37E3-EA1BC5949C8D}"/>
            </a:ext>
          </a:extLst>
        </xdr:cNvPr>
        <xdr:cNvSpPr>
          <a:spLocks noChangeAspect="1" noChangeArrowheads="1"/>
        </xdr:cNvSpPr>
      </xdr:nvSpPr>
      <xdr:spPr bwMode="auto">
        <a:xfrm>
          <a:off x="0" y="107175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190500</xdr:colOff>
      <xdr:row>560</xdr:row>
      <xdr:rowOff>10583</xdr:rowOff>
    </xdr:to>
    <xdr:sp macro="" textlink="">
      <xdr:nvSpPr>
        <xdr:cNvPr id="1927" name="AutoShape 903" descr="Teamlogo">
          <a:extLst>
            <a:ext uri="{FF2B5EF4-FFF2-40B4-BE49-F238E27FC236}">
              <a16:creationId xmlns:a16="http://schemas.microsoft.com/office/drawing/2014/main" id="{EA184A3B-219A-1865-6867-DA1186D11E24}"/>
            </a:ext>
          </a:extLst>
        </xdr:cNvPr>
        <xdr:cNvSpPr>
          <a:spLocks noChangeAspect="1" noChangeArrowheads="1"/>
        </xdr:cNvSpPr>
      </xdr:nvSpPr>
      <xdr:spPr bwMode="auto">
        <a:xfrm>
          <a:off x="0" y="10774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190500</xdr:colOff>
      <xdr:row>563</xdr:row>
      <xdr:rowOff>10583</xdr:rowOff>
    </xdr:to>
    <xdr:sp macro="" textlink="">
      <xdr:nvSpPr>
        <xdr:cNvPr id="1928" name="AutoShape 904" descr="Teamlogo">
          <a:extLst>
            <a:ext uri="{FF2B5EF4-FFF2-40B4-BE49-F238E27FC236}">
              <a16:creationId xmlns:a16="http://schemas.microsoft.com/office/drawing/2014/main" id="{6B899993-57CD-331F-AF64-3341F5F7EBEB}"/>
            </a:ext>
          </a:extLst>
        </xdr:cNvPr>
        <xdr:cNvSpPr>
          <a:spLocks noChangeAspect="1" noChangeArrowheads="1"/>
        </xdr:cNvSpPr>
      </xdr:nvSpPr>
      <xdr:spPr bwMode="auto">
        <a:xfrm>
          <a:off x="0" y="10831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190500</xdr:colOff>
      <xdr:row>566</xdr:row>
      <xdr:rowOff>10583</xdr:rowOff>
    </xdr:to>
    <xdr:sp macro="" textlink="">
      <xdr:nvSpPr>
        <xdr:cNvPr id="1929" name="AutoShape 905" descr="Teamlogo">
          <a:extLst>
            <a:ext uri="{FF2B5EF4-FFF2-40B4-BE49-F238E27FC236}">
              <a16:creationId xmlns:a16="http://schemas.microsoft.com/office/drawing/2014/main" id="{26F297D2-9335-AE64-2455-75782FF6AD27}"/>
            </a:ext>
          </a:extLst>
        </xdr:cNvPr>
        <xdr:cNvSpPr>
          <a:spLocks noChangeAspect="1" noChangeArrowheads="1"/>
        </xdr:cNvSpPr>
      </xdr:nvSpPr>
      <xdr:spPr bwMode="auto">
        <a:xfrm>
          <a:off x="0" y="10888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190500</xdr:colOff>
      <xdr:row>569</xdr:row>
      <xdr:rowOff>10583</xdr:rowOff>
    </xdr:to>
    <xdr:sp macro="" textlink="">
      <xdr:nvSpPr>
        <xdr:cNvPr id="1930" name="AutoShape 906" descr="Teamlogo">
          <a:extLst>
            <a:ext uri="{FF2B5EF4-FFF2-40B4-BE49-F238E27FC236}">
              <a16:creationId xmlns:a16="http://schemas.microsoft.com/office/drawing/2014/main" id="{C5EDD0B6-0484-4B76-859C-8775C24ED9FE}"/>
            </a:ext>
          </a:extLst>
        </xdr:cNvPr>
        <xdr:cNvSpPr>
          <a:spLocks noChangeAspect="1" noChangeArrowheads="1"/>
        </xdr:cNvSpPr>
      </xdr:nvSpPr>
      <xdr:spPr bwMode="auto">
        <a:xfrm>
          <a:off x="0" y="109461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190500</xdr:colOff>
      <xdr:row>572</xdr:row>
      <xdr:rowOff>10583</xdr:rowOff>
    </xdr:to>
    <xdr:sp macro="" textlink="">
      <xdr:nvSpPr>
        <xdr:cNvPr id="1931" name="AutoShape 907" descr="Teamlogo">
          <a:extLst>
            <a:ext uri="{FF2B5EF4-FFF2-40B4-BE49-F238E27FC236}">
              <a16:creationId xmlns:a16="http://schemas.microsoft.com/office/drawing/2014/main" id="{A5708F53-E769-8724-797D-AFD795F0555C}"/>
            </a:ext>
          </a:extLst>
        </xdr:cNvPr>
        <xdr:cNvSpPr>
          <a:spLocks noChangeAspect="1" noChangeArrowheads="1"/>
        </xdr:cNvSpPr>
      </xdr:nvSpPr>
      <xdr:spPr bwMode="auto">
        <a:xfrm>
          <a:off x="0" y="11003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190500</xdr:colOff>
      <xdr:row>575</xdr:row>
      <xdr:rowOff>10583</xdr:rowOff>
    </xdr:to>
    <xdr:sp macro="" textlink="">
      <xdr:nvSpPr>
        <xdr:cNvPr id="1932" name="AutoShape 908" descr="Teamlogo">
          <a:extLst>
            <a:ext uri="{FF2B5EF4-FFF2-40B4-BE49-F238E27FC236}">
              <a16:creationId xmlns:a16="http://schemas.microsoft.com/office/drawing/2014/main" id="{6C711769-F5AA-BDDE-770D-DEDE73939AAA}"/>
            </a:ext>
          </a:extLst>
        </xdr:cNvPr>
        <xdr:cNvSpPr>
          <a:spLocks noChangeAspect="1" noChangeArrowheads="1"/>
        </xdr:cNvSpPr>
      </xdr:nvSpPr>
      <xdr:spPr bwMode="auto">
        <a:xfrm>
          <a:off x="0" y="11060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190500</xdr:colOff>
      <xdr:row>578</xdr:row>
      <xdr:rowOff>10583</xdr:rowOff>
    </xdr:to>
    <xdr:sp macro="" textlink="">
      <xdr:nvSpPr>
        <xdr:cNvPr id="1933" name="AutoShape 909" descr="Teamlogo">
          <a:extLst>
            <a:ext uri="{FF2B5EF4-FFF2-40B4-BE49-F238E27FC236}">
              <a16:creationId xmlns:a16="http://schemas.microsoft.com/office/drawing/2014/main" id="{B15FB2A1-C477-6367-003A-51CBB7ABADAB}"/>
            </a:ext>
          </a:extLst>
        </xdr:cNvPr>
        <xdr:cNvSpPr>
          <a:spLocks noChangeAspect="1" noChangeArrowheads="1"/>
        </xdr:cNvSpPr>
      </xdr:nvSpPr>
      <xdr:spPr bwMode="auto">
        <a:xfrm>
          <a:off x="0" y="111175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190500</xdr:colOff>
      <xdr:row>581</xdr:row>
      <xdr:rowOff>10583</xdr:rowOff>
    </xdr:to>
    <xdr:sp macro="" textlink="">
      <xdr:nvSpPr>
        <xdr:cNvPr id="1934" name="AutoShape 910" descr="Teamlogo">
          <a:extLst>
            <a:ext uri="{FF2B5EF4-FFF2-40B4-BE49-F238E27FC236}">
              <a16:creationId xmlns:a16="http://schemas.microsoft.com/office/drawing/2014/main" id="{B8086D33-6F04-337D-116A-50245AAA6C78}"/>
            </a:ext>
          </a:extLst>
        </xdr:cNvPr>
        <xdr:cNvSpPr>
          <a:spLocks noChangeAspect="1" noChangeArrowheads="1"/>
        </xdr:cNvSpPr>
      </xdr:nvSpPr>
      <xdr:spPr bwMode="auto">
        <a:xfrm>
          <a:off x="0" y="111747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190500</xdr:colOff>
      <xdr:row>584</xdr:row>
      <xdr:rowOff>10583</xdr:rowOff>
    </xdr:to>
    <xdr:sp macro="" textlink="">
      <xdr:nvSpPr>
        <xdr:cNvPr id="1935" name="AutoShape 911" descr="Teamlogo">
          <a:extLst>
            <a:ext uri="{FF2B5EF4-FFF2-40B4-BE49-F238E27FC236}">
              <a16:creationId xmlns:a16="http://schemas.microsoft.com/office/drawing/2014/main" id="{E43717C5-FC12-2095-A6EC-32397C729CE1}"/>
            </a:ext>
          </a:extLst>
        </xdr:cNvPr>
        <xdr:cNvSpPr>
          <a:spLocks noChangeAspect="1" noChangeArrowheads="1"/>
        </xdr:cNvSpPr>
      </xdr:nvSpPr>
      <xdr:spPr bwMode="auto">
        <a:xfrm>
          <a:off x="0" y="11231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586</xdr:row>
      <xdr:rowOff>0</xdr:rowOff>
    </xdr:from>
    <xdr:to>
      <xdr:col>0</xdr:col>
      <xdr:colOff>190500</xdr:colOff>
      <xdr:row>587</xdr:row>
      <xdr:rowOff>10583</xdr:rowOff>
    </xdr:to>
    <xdr:sp macro="" textlink="">
      <xdr:nvSpPr>
        <xdr:cNvPr id="1936" name="AutoShape 912" descr="Teamlogo">
          <a:extLst>
            <a:ext uri="{FF2B5EF4-FFF2-40B4-BE49-F238E27FC236}">
              <a16:creationId xmlns:a16="http://schemas.microsoft.com/office/drawing/2014/main" id="{5897EB6B-15D7-B1D7-B41B-35CCC93074F9}"/>
            </a:ext>
          </a:extLst>
        </xdr:cNvPr>
        <xdr:cNvSpPr>
          <a:spLocks noChangeAspect="1" noChangeArrowheads="1"/>
        </xdr:cNvSpPr>
      </xdr:nvSpPr>
      <xdr:spPr bwMode="auto">
        <a:xfrm>
          <a:off x="0" y="112890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190500</xdr:colOff>
      <xdr:row>590</xdr:row>
      <xdr:rowOff>10583</xdr:rowOff>
    </xdr:to>
    <xdr:sp macro="" textlink="">
      <xdr:nvSpPr>
        <xdr:cNvPr id="1937" name="AutoShape 913" descr="Teamlogo">
          <a:extLst>
            <a:ext uri="{FF2B5EF4-FFF2-40B4-BE49-F238E27FC236}">
              <a16:creationId xmlns:a16="http://schemas.microsoft.com/office/drawing/2014/main" id="{791733D6-9B49-F6A6-A550-363AF56DD073}"/>
            </a:ext>
          </a:extLst>
        </xdr:cNvPr>
        <xdr:cNvSpPr>
          <a:spLocks noChangeAspect="1" noChangeArrowheads="1"/>
        </xdr:cNvSpPr>
      </xdr:nvSpPr>
      <xdr:spPr bwMode="auto">
        <a:xfrm>
          <a:off x="0" y="11346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190500</xdr:colOff>
      <xdr:row>593</xdr:row>
      <xdr:rowOff>10583</xdr:rowOff>
    </xdr:to>
    <xdr:sp macro="" textlink="">
      <xdr:nvSpPr>
        <xdr:cNvPr id="1938" name="AutoShape 914" descr="Teamlogo">
          <a:extLst>
            <a:ext uri="{FF2B5EF4-FFF2-40B4-BE49-F238E27FC236}">
              <a16:creationId xmlns:a16="http://schemas.microsoft.com/office/drawing/2014/main" id="{3CFFEE21-00CC-9E9B-50E9-911DC28666E9}"/>
            </a:ext>
          </a:extLst>
        </xdr:cNvPr>
        <xdr:cNvSpPr>
          <a:spLocks noChangeAspect="1" noChangeArrowheads="1"/>
        </xdr:cNvSpPr>
      </xdr:nvSpPr>
      <xdr:spPr bwMode="auto">
        <a:xfrm>
          <a:off x="0" y="114033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190500</xdr:colOff>
      <xdr:row>596</xdr:row>
      <xdr:rowOff>10583</xdr:rowOff>
    </xdr:to>
    <xdr:sp macro="" textlink="">
      <xdr:nvSpPr>
        <xdr:cNvPr id="1939" name="AutoShape 915" descr="Teamlogo">
          <a:extLst>
            <a:ext uri="{FF2B5EF4-FFF2-40B4-BE49-F238E27FC236}">
              <a16:creationId xmlns:a16="http://schemas.microsoft.com/office/drawing/2014/main" id="{E8D2DBE7-6311-D5FF-93EA-F8A1A55A91B2}"/>
            </a:ext>
          </a:extLst>
        </xdr:cNvPr>
        <xdr:cNvSpPr>
          <a:spLocks noChangeAspect="1" noChangeArrowheads="1"/>
        </xdr:cNvSpPr>
      </xdr:nvSpPr>
      <xdr:spPr bwMode="auto">
        <a:xfrm>
          <a:off x="0" y="11460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190500</xdr:colOff>
      <xdr:row>599</xdr:row>
      <xdr:rowOff>10583</xdr:rowOff>
    </xdr:to>
    <xdr:sp macro="" textlink="">
      <xdr:nvSpPr>
        <xdr:cNvPr id="1940" name="AutoShape 916" descr="Teamlogo">
          <a:extLst>
            <a:ext uri="{FF2B5EF4-FFF2-40B4-BE49-F238E27FC236}">
              <a16:creationId xmlns:a16="http://schemas.microsoft.com/office/drawing/2014/main" id="{7BF27E94-CF4B-9B57-7E8F-96D813D10EF1}"/>
            </a:ext>
          </a:extLst>
        </xdr:cNvPr>
        <xdr:cNvSpPr>
          <a:spLocks noChangeAspect="1" noChangeArrowheads="1"/>
        </xdr:cNvSpPr>
      </xdr:nvSpPr>
      <xdr:spPr bwMode="auto">
        <a:xfrm>
          <a:off x="0" y="115176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190500</xdr:colOff>
      <xdr:row>602</xdr:row>
      <xdr:rowOff>10583</xdr:rowOff>
    </xdr:to>
    <xdr:sp macro="" textlink="">
      <xdr:nvSpPr>
        <xdr:cNvPr id="1941" name="AutoShape 917" descr="Teamlogo">
          <a:extLst>
            <a:ext uri="{FF2B5EF4-FFF2-40B4-BE49-F238E27FC236}">
              <a16:creationId xmlns:a16="http://schemas.microsoft.com/office/drawing/2014/main" id="{D151770E-8577-B0BD-5FA2-11F6CE6F07C3}"/>
            </a:ext>
          </a:extLst>
        </xdr:cNvPr>
        <xdr:cNvSpPr>
          <a:spLocks noChangeAspect="1" noChangeArrowheads="1"/>
        </xdr:cNvSpPr>
      </xdr:nvSpPr>
      <xdr:spPr bwMode="auto">
        <a:xfrm>
          <a:off x="0" y="11574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190500</xdr:colOff>
      <xdr:row>605</xdr:row>
      <xdr:rowOff>10583</xdr:rowOff>
    </xdr:to>
    <xdr:sp macro="" textlink="">
      <xdr:nvSpPr>
        <xdr:cNvPr id="1942" name="AutoShape 918" descr="Teamlogo">
          <a:extLst>
            <a:ext uri="{FF2B5EF4-FFF2-40B4-BE49-F238E27FC236}">
              <a16:creationId xmlns:a16="http://schemas.microsoft.com/office/drawing/2014/main" id="{DB49044B-368B-F91A-E041-742C80F909B9}"/>
            </a:ext>
          </a:extLst>
        </xdr:cNvPr>
        <xdr:cNvSpPr>
          <a:spLocks noChangeAspect="1" noChangeArrowheads="1"/>
        </xdr:cNvSpPr>
      </xdr:nvSpPr>
      <xdr:spPr bwMode="auto">
        <a:xfrm>
          <a:off x="0" y="116319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190500</xdr:colOff>
      <xdr:row>608</xdr:row>
      <xdr:rowOff>10583</xdr:rowOff>
    </xdr:to>
    <xdr:sp macro="" textlink="">
      <xdr:nvSpPr>
        <xdr:cNvPr id="1943" name="AutoShape 919" descr="Teamlogo">
          <a:extLst>
            <a:ext uri="{FF2B5EF4-FFF2-40B4-BE49-F238E27FC236}">
              <a16:creationId xmlns:a16="http://schemas.microsoft.com/office/drawing/2014/main" id="{E6971A93-BDCF-FE6C-65A0-5D8D438F975F}"/>
            </a:ext>
          </a:extLst>
        </xdr:cNvPr>
        <xdr:cNvSpPr>
          <a:spLocks noChangeAspect="1" noChangeArrowheads="1"/>
        </xdr:cNvSpPr>
      </xdr:nvSpPr>
      <xdr:spPr bwMode="auto">
        <a:xfrm>
          <a:off x="0" y="11689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190500</xdr:colOff>
      <xdr:row>611</xdr:row>
      <xdr:rowOff>10583</xdr:rowOff>
    </xdr:to>
    <xdr:sp macro="" textlink="">
      <xdr:nvSpPr>
        <xdr:cNvPr id="1944" name="AutoShape 920" descr="Teamlogo">
          <a:extLst>
            <a:ext uri="{FF2B5EF4-FFF2-40B4-BE49-F238E27FC236}">
              <a16:creationId xmlns:a16="http://schemas.microsoft.com/office/drawing/2014/main" id="{AD0BC1C1-D1D8-6291-2439-59CBA895B39C}"/>
            </a:ext>
          </a:extLst>
        </xdr:cNvPr>
        <xdr:cNvSpPr>
          <a:spLocks noChangeAspect="1" noChangeArrowheads="1"/>
        </xdr:cNvSpPr>
      </xdr:nvSpPr>
      <xdr:spPr bwMode="auto">
        <a:xfrm>
          <a:off x="0" y="117462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190500</xdr:colOff>
      <xdr:row>614</xdr:row>
      <xdr:rowOff>10583</xdr:rowOff>
    </xdr:to>
    <xdr:sp macro="" textlink="">
      <xdr:nvSpPr>
        <xdr:cNvPr id="1945" name="AutoShape 921" descr="Teamlogo">
          <a:extLst>
            <a:ext uri="{FF2B5EF4-FFF2-40B4-BE49-F238E27FC236}">
              <a16:creationId xmlns:a16="http://schemas.microsoft.com/office/drawing/2014/main" id="{A3588BF0-5C8D-481F-101B-F621E0F8F104}"/>
            </a:ext>
          </a:extLst>
        </xdr:cNvPr>
        <xdr:cNvSpPr>
          <a:spLocks noChangeAspect="1" noChangeArrowheads="1"/>
        </xdr:cNvSpPr>
      </xdr:nvSpPr>
      <xdr:spPr bwMode="auto">
        <a:xfrm>
          <a:off x="0" y="11803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190500</xdr:colOff>
      <xdr:row>617</xdr:row>
      <xdr:rowOff>10583</xdr:rowOff>
    </xdr:to>
    <xdr:sp macro="" textlink="">
      <xdr:nvSpPr>
        <xdr:cNvPr id="1946" name="AutoShape 922" descr="Teamlogo">
          <a:extLst>
            <a:ext uri="{FF2B5EF4-FFF2-40B4-BE49-F238E27FC236}">
              <a16:creationId xmlns:a16="http://schemas.microsoft.com/office/drawing/2014/main" id="{3BCC4D4F-23FB-B1C7-4350-76C3661D0100}"/>
            </a:ext>
          </a:extLst>
        </xdr:cNvPr>
        <xdr:cNvSpPr>
          <a:spLocks noChangeAspect="1" noChangeArrowheads="1"/>
        </xdr:cNvSpPr>
      </xdr:nvSpPr>
      <xdr:spPr bwMode="auto">
        <a:xfrm>
          <a:off x="0" y="118605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190500</xdr:colOff>
      <xdr:row>620</xdr:row>
      <xdr:rowOff>10583</xdr:rowOff>
    </xdr:to>
    <xdr:sp macro="" textlink="">
      <xdr:nvSpPr>
        <xdr:cNvPr id="1947" name="AutoShape 923" descr="Teamlogo">
          <a:extLst>
            <a:ext uri="{FF2B5EF4-FFF2-40B4-BE49-F238E27FC236}">
              <a16:creationId xmlns:a16="http://schemas.microsoft.com/office/drawing/2014/main" id="{9679FA66-B710-7077-28BD-7D9595F7C144}"/>
            </a:ext>
          </a:extLst>
        </xdr:cNvPr>
        <xdr:cNvSpPr>
          <a:spLocks noChangeAspect="1" noChangeArrowheads="1"/>
        </xdr:cNvSpPr>
      </xdr:nvSpPr>
      <xdr:spPr bwMode="auto">
        <a:xfrm>
          <a:off x="0" y="11917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190500</xdr:colOff>
      <xdr:row>623</xdr:row>
      <xdr:rowOff>10583</xdr:rowOff>
    </xdr:to>
    <xdr:sp macro="" textlink="">
      <xdr:nvSpPr>
        <xdr:cNvPr id="1948" name="AutoShape 924" descr="Teamlogo">
          <a:extLst>
            <a:ext uri="{FF2B5EF4-FFF2-40B4-BE49-F238E27FC236}">
              <a16:creationId xmlns:a16="http://schemas.microsoft.com/office/drawing/2014/main" id="{C3CE0F92-5D4F-A262-9961-5BFA3375CE2E}"/>
            </a:ext>
          </a:extLst>
        </xdr:cNvPr>
        <xdr:cNvSpPr>
          <a:spLocks noChangeAspect="1" noChangeArrowheads="1"/>
        </xdr:cNvSpPr>
      </xdr:nvSpPr>
      <xdr:spPr bwMode="auto">
        <a:xfrm>
          <a:off x="0" y="11974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190500</xdr:colOff>
      <xdr:row>626</xdr:row>
      <xdr:rowOff>10583</xdr:rowOff>
    </xdr:to>
    <xdr:sp macro="" textlink="">
      <xdr:nvSpPr>
        <xdr:cNvPr id="1949" name="AutoShape 925" descr="Teamlogo">
          <a:extLst>
            <a:ext uri="{FF2B5EF4-FFF2-40B4-BE49-F238E27FC236}">
              <a16:creationId xmlns:a16="http://schemas.microsoft.com/office/drawing/2014/main" id="{457BF769-D6AA-65AD-2300-DECAA578C51E}"/>
            </a:ext>
          </a:extLst>
        </xdr:cNvPr>
        <xdr:cNvSpPr>
          <a:spLocks noChangeAspect="1" noChangeArrowheads="1"/>
        </xdr:cNvSpPr>
      </xdr:nvSpPr>
      <xdr:spPr bwMode="auto">
        <a:xfrm>
          <a:off x="0" y="12031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190500</xdr:colOff>
      <xdr:row>629</xdr:row>
      <xdr:rowOff>10583</xdr:rowOff>
    </xdr:to>
    <xdr:sp macro="" textlink="">
      <xdr:nvSpPr>
        <xdr:cNvPr id="1950" name="AutoShape 926" descr="Teamlogo">
          <a:extLst>
            <a:ext uri="{FF2B5EF4-FFF2-40B4-BE49-F238E27FC236}">
              <a16:creationId xmlns:a16="http://schemas.microsoft.com/office/drawing/2014/main" id="{0C9A4948-AA91-97FE-FFD7-556AAEADF805}"/>
            </a:ext>
          </a:extLst>
        </xdr:cNvPr>
        <xdr:cNvSpPr>
          <a:spLocks noChangeAspect="1" noChangeArrowheads="1"/>
        </xdr:cNvSpPr>
      </xdr:nvSpPr>
      <xdr:spPr bwMode="auto">
        <a:xfrm>
          <a:off x="0" y="120891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190500</xdr:colOff>
      <xdr:row>632</xdr:row>
      <xdr:rowOff>10583</xdr:rowOff>
    </xdr:to>
    <xdr:sp macro="" textlink="">
      <xdr:nvSpPr>
        <xdr:cNvPr id="1951" name="AutoShape 927" descr="Teamlogo">
          <a:extLst>
            <a:ext uri="{FF2B5EF4-FFF2-40B4-BE49-F238E27FC236}">
              <a16:creationId xmlns:a16="http://schemas.microsoft.com/office/drawing/2014/main" id="{6E6AB345-5407-60CB-4036-A2F35DDBF452}"/>
            </a:ext>
          </a:extLst>
        </xdr:cNvPr>
        <xdr:cNvSpPr>
          <a:spLocks noChangeAspect="1" noChangeArrowheads="1"/>
        </xdr:cNvSpPr>
      </xdr:nvSpPr>
      <xdr:spPr bwMode="auto">
        <a:xfrm>
          <a:off x="0" y="12146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190500</xdr:colOff>
      <xdr:row>635</xdr:row>
      <xdr:rowOff>10583</xdr:rowOff>
    </xdr:to>
    <xdr:sp macro="" textlink="">
      <xdr:nvSpPr>
        <xdr:cNvPr id="1952" name="AutoShape 928" descr="Teamlogo">
          <a:extLst>
            <a:ext uri="{FF2B5EF4-FFF2-40B4-BE49-F238E27FC236}">
              <a16:creationId xmlns:a16="http://schemas.microsoft.com/office/drawing/2014/main" id="{ED96C7D3-D6D1-83C4-7471-7349D0E3D86B}"/>
            </a:ext>
          </a:extLst>
        </xdr:cNvPr>
        <xdr:cNvSpPr>
          <a:spLocks noChangeAspect="1" noChangeArrowheads="1"/>
        </xdr:cNvSpPr>
      </xdr:nvSpPr>
      <xdr:spPr bwMode="auto">
        <a:xfrm>
          <a:off x="0" y="1220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190500</xdr:colOff>
      <xdr:row>638</xdr:row>
      <xdr:rowOff>10583</xdr:rowOff>
    </xdr:to>
    <xdr:sp macro="" textlink="">
      <xdr:nvSpPr>
        <xdr:cNvPr id="1953" name="AutoShape 929" descr="Teamlogo">
          <a:extLst>
            <a:ext uri="{FF2B5EF4-FFF2-40B4-BE49-F238E27FC236}">
              <a16:creationId xmlns:a16="http://schemas.microsoft.com/office/drawing/2014/main" id="{40957895-BECD-FF07-3BD0-0B55FE38BBBB}"/>
            </a:ext>
          </a:extLst>
        </xdr:cNvPr>
        <xdr:cNvSpPr>
          <a:spLocks noChangeAspect="1" noChangeArrowheads="1"/>
        </xdr:cNvSpPr>
      </xdr:nvSpPr>
      <xdr:spPr bwMode="auto">
        <a:xfrm>
          <a:off x="0" y="122605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190500</xdr:colOff>
      <xdr:row>641</xdr:row>
      <xdr:rowOff>10583</xdr:rowOff>
    </xdr:to>
    <xdr:sp macro="" textlink="">
      <xdr:nvSpPr>
        <xdr:cNvPr id="1954" name="AutoShape 930" descr="Teamlogo">
          <a:extLst>
            <a:ext uri="{FF2B5EF4-FFF2-40B4-BE49-F238E27FC236}">
              <a16:creationId xmlns:a16="http://schemas.microsoft.com/office/drawing/2014/main" id="{566EB1AE-BA43-6B31-243E-EF938054D5B0}"/>
            </a:ext>
          </a:extLst>
        </xdr:cNvPr>
        <xdr:cNvSpPr>
          <a:spLocks noChangeAspect="1" noChangeArrowheads="1"/>
        </xdr:cNvSpPr>
      </xdr:nvSpPr>
      <xdr:spPr bwMode="auto">
        <a:xfrm>
          <a:off x="0" y="123177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190500</xdr:colOff>
      <xdr:row>644</xdr:row>
      <xdr:rowOff>10583</xdr:rowOff>
    </xdr:to>
    <xdr:sp macro="" textlink="">
      <xdr:nvSpPr>
        <xdr:cNvPr id="1955" name="AutoShape 931" descr="Teamlogo">
          <a:extLst>
            <a:ext uri="{FF2B5EF4-FFF2-40B4-BE49-F238E27FC236}">
              <a16:creationId xmlns:a16="http://schemas.microsoft.com/office/drawing/2014/main" id="{2BC453FF-E582-8032-ABA2-6F63F8AEE160}"/>
            </a:ext>
          </a:extLst>
        </xdr:cNvPr>
        <xdr:cNvSpPr>
          <a:spLocks noChangeAspect="1" noChangeArrowheads="1"/>
        </xdr:cNvSpPr>
      </xdr:nvSpPr>
      <xdr:spPr bwMode="auto">
        <a:xfrm>
          <a:off x="0" y="12374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190500</xdr:colOff>
      <xdr:row>647</xdr:row>
      <xdr:rowOff>10583</xdr:rowOff>
    </xdr:to>
    <xdr:sp macro="" textlink="">
      <xdr:nvSpPr>
        <xdr:cNvPr id="1956" name="AutoShape 932" descr="Teamlogo">
          <a:extLst>
            <a:ext uri="{FF2B5EF4-FFF2-40B4-BE49-F238E27FC236}">
              <a16:creationId xmlns:a16="http://schemas.microsoft.com/office/drawing/2014/main" id="{F12DEFD0-23EF-D675-8C3E-E4E46FD425FA}"/>
            </a:ext>
          </a:extLst>
        </xdr:cNvPr>
        <xdr:cNvSpPr>
          <a:spLocks noChangeAspect="1" noChangeArrowheads="1"/>
        </xdr:cNvSpPr>
      </xdr:nvSpPr>
      <xdr:spPr bwMode="auto">
        <a:xfrm>
          <a:off x="0" y="124320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190500</xdr:colOff>
      <xdr:row>650</xdr:row>
      <xdr:rowOff>10583</xdr:rowOff>
    </xdr:to>
    <xdr:sp macro="" textlink="">
      <xdr:nvSpPr>
        <xdr:cNvPr id="1957" name="AutoShape 933" descr="Teamlogo">
          <a:extLst>
            <a:ext uri="{FF2B5EF4-FFF2-40B4-BE49-F238E27FC236}">
              <a16:creationId xmlns:a16="http://schemas.microsoft.com/office/drawing/2014/main" id="{07458163-FFBD-6AA2-E270-535000D725FC}"/>
            </a:ext>
          </a:extLst>
        </xdr:cNvPr>
        <xdr:cNvSpPr>
          <a:spLocks noChangeAspect="1" noChangeArrowheads="1"/>
        </xdr:cNvSpPr>
      </xdr:nvSpPr>
      <xdr:spPr bwMode="auto">
        <a:xfrm>
          <a:off x="0" y="12489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190500</xdr:colOff>
      <xdr:row>653</xdr:row>
      <xdr:rowOff>10583</xdr:rowOff>
    </xdr:to>
    <xdr:sp macro="" textlink="">
      <xdr:nvSpPr>
        <xdr:cNvPr id="1958" name="AutoShape 934" descr="Teamlogo">
          <a:extLst>
            <a:ext uri="{FF2B5EF4-FFF2-40B4-BE49-F238E27FC236}">
              <a16:creationId xmlns:a16="http://schemas.microsoft.com/office/drawing/2014/main" id="{FDB0DDC4-62E1-3698-1846-D21E97CECA26}"/>
            </a:ext>
          </a:extLst>
        </xdr:cNvPr>
        <xdr:cNvSpPr>
          <a:spLocks noChangeAspect="1" noChangeArrowheads="1"/>
        </xdr:cNvSpPr>
      </xdr:nvSpPr>
      <xdr:spPr bwMode="auto">
        <a:xfrm>
          <a:off x="0" y="125463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190500</xdr:colOff>
      <xdr:row>656</xdr:row>
      <xdr:rowOff>10583</xdr:rowOff>
    </xdr:to>
    <xdr:sp macro="" textlink="">
      <xdr:nvSpPr>
        <xdr:cNvPr id="1959" name="AutoShape 935" descr="Teamlogo">
          <a:extLst>
            <a:ext uri="{FF2B5EF4-FFF2-40B4-BE49-F238E27FC236}">
              <a16:creationId xmlns:a16="http://schemas.microsoft.com/office/drawing/2014/main" id="{1927951D-BE57-8073-464D-8EDE00520703}"/>
            </a:ext>
          </a:extLst>
        </xdr:cNvPr>
        <xdr:cNvSpPr>
          <a:spLocks noChangeAspect="1" noChangeArrowheads="1"/>
        </xdr:cNvSpPr>
      </xdr:nvSpPr>
      <xdr:spPr bwMode="auto">
        <a:xfrm>
          <a:off x="0" y="12618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190500</xdr:colOff>
      <xdr:row>659</xdr:row>
      <xdr:rowOff>10583</xdr:rowOff>
    </xdr:to>
    <xdr:sp macro="" textlink="">
      <xdr:nvSpPr>
        <xdr:cNvPr id="1960" name="AutoShape 936" descr="Teamlogo">
          <a:extLst>
            <a:ext uri="{FF2B5EF4-FFF2-40B4-BE49-F238E27FC236}">
              <a16:creationId xmlns:a16="http://schemas.microsoft.com/office/drawing/2014/main" id="{05AE2B48-CD85-8CB2-D0ED-13FACF40029B}"/>
            </a:ext>
          </a:extLst>
        </xdr:cNvPr>
        <xdr:cNvSpPr>
          <a:spLocks noChangeAspect="1" noChangeArrowheads="1"/>
        </xdr:cNvSpPr>
      </xdr:nvSpPr>
      <xdr:spPr bwMode="auto">
        <a:xfrm>
          <a:off x="0" y="126758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190500</xdr:colOff>
      <xdr:row>662</xdr:row>
      <xdr:rowOff>10583</xdr:rowOff>
    </xdr:to>
    <xdr:sp macro="" textlink="">
      <xdr:nvSpPr>
        <xdr:cNvPr id="1961" name="AutoShape 937" descr="Teamlogo">
          <a:extLst>
            <a:ext uri="{FF2B5EF4-FFF2-40B4-BE49-F238E27FC236}">
              <a16:creationId xmlns:a16="http://schemas.microsoft.com/office/drawing/2014/main" id="{6F817040-ADE8-F9B2-E5C7-F2C385968AFE}"/>
            </a:ext>
          </a:extLst>
        </xdr:cNvPr>
        <xdr:cNvSpPr>
          <a:spLocks noChangeAspect="1" noChangeArrowheads="1"/>
        </xdr:cNvSpPr>
      </xdr:nvSpPr>
      <xdr:spPr bwMode="auto">
        <a:xfrm>
          <a:off x="0" y="12733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190500</xdr:colOff>
      <xdr:row>665</xdr:row>
      <xdr:rowOff>10583</xdr:rowOff>
    </xdr:to>
    <xdr:sp macro="" textlink="">
      <xdr:nvSpPr>
        <xdr:cNvPr id="1962" name="AutoShape 938" descr="Teamlogo">
          <a:extLst>
            <a:ext uri="{FF2B5EF4-FFF2-40B4-BE49-F238E27FC236}">
              <a16:creationId xmlns:a16="http://schemas.microsoft.com/office/drawing/2014/main" id="{1A3897DF-43D2-0A25-360E-6F89CC56A4E2}"/>
            </a:ext>
          </a:extLst>
        </xdr:cNvPr>
        <xdr:cNvSpPr>
          <a:spLocks noChangeAspect="1" noChangeArrowheads="1"/>
        </xdr:cNvSpPr>
      </xdr:nvSpPr>
      <xdr:spPr bwMode="auto">
        <a:xfrm>
          <a:off x="0" y="128054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190500</xdr:colOff>
      <xdr:row>668</xdr:row>
      <xdr:rowOff>10583</xdr:rowOff>
    </xdr:to>
    <xdr:sp macro="" textlink="">
      <xdr:nvSpPr>
        <xdr:cNvPr id="1963" name="AutoShape 939" descr="Teamlogo">
          <a:extLst>
            <a:ext uri="{FF2B5EF4-FFF2-40B4-BE49-F238E27FC236}">
              <a16:creationId xmlns:a16="http://schemas.microsoft.com/office/drawing/2014/main" id="{4CBAB9AD-A57E-A8EF-EA6D-21782BBD14AD}"/>
            </a:ext>
          </a:extLst>
        </xdr:cNvPr>
        <xdr:cNvSpPr>
          <a:spLocks noChangeAspect="1" noChangeArrowheads="1"/>
        </xdr:cNvSpPr>
      </xdr:nvSpPr>
      <xdr:spPr bwMode="auto">
        <a:xfrm>
          <a:off x="0" y="12862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190500</xdr:colOff>
      <xdr:row>671</xdr:row>
      <xdr:rowOff>10583</xdr:rowOff>
    </xdr:to>
    <xdr:sp macro="" textlink="">
      <xdr:nvSpPr>
        <xdr:cNvPr id="1964" name="AutoShape 940" descr="Teamlogo">
          <a:extLst>
            <a:ext uri="{FF2B5EF4-FFF2-40B4-BE49-F238E27FC236}">
              <a16:creationId xmlns:a16="http://schemas.microsoft.com/office/drawing/2014/main" id="{AA455AE7-DCC3-4862-AD7E-1030C4DB9EEB}"/>
            </a:ext>
          </a:extLst>
        </xdr:cNvPr>
        <xdr:cNvSpPr>
          <a:spLocks noChangeAspect="1" noChangeArrowheads="1"/>
        </xdr:cNvSpPr>
      </xdr:nvSpPr>
      <xdr:spPr bwMode="auto">
        <a:xfrm>
          <a:off x="0" y="129197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190500</xdr:colOff>
      <xdr:row>674</xdr:row>
      <xdr:rowOff>10583</xdr:rowOff>
    </xdr:to>
    <xdr:sp macro="" textlink="">
      <xdr:nvSpPr>
        <xdr:cNvPr id="1965" name="AutoShape 941" descr="Teamlogo">
          <a:extLst>
            <a:ext uri="{FF2B5EF4-FFF2-40B4-BE49-F238E27FC236}">
              <a16:creationId xmlns:a16="http://schemas.microsoft.com/office/drawing/2014/main" id="{651E1EC1-1CAB-ECD8-BC62-1C88D8870E61}"/>
            </a:ext>
          </a:extLst>
        </xdr:cNvPr>
        <xdr:cNvSpPr>
          <a:spLocks noChangeAspect="1" noChangeArrowheads="1"/>
        </xdr:cNvSpPr>
      </xdr:nvSpPr>
      <xdr:spPr bwMode="auto">
        <a:xfrm>
          <a:off x="0" y="12976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190500</xdr:colOff>
      <xdr:row>677</xdr:row>
      <xdr:rowOff>10583</xdr:rowOff>
    </xdr:to>
    <xdr:sp macro="" textlink="">
      <xdr:nvSpPr>
        <xdr:cNvPr id="1966" name="AutoShape 942" descr="Teamlogo">
          <a:extLst>
            <a:ext uri="{FF2B5EF4-FFF2-40B4-BE49-F238E27FC236}">
              <a16:creationId xmlns:a16="http://schemas.microsoft.com/office/drawing/2014/main" id="{B1064FF9-BF70-5D12-3A97-5CA781B4FD7D}"/>
            </a:ext>
          </a:extLst>
        </xdr:cNvPr>
        <xdr:cNvSpPr>
          <a:spLocks noChangeAspect="1" noChangeArrowheads="1"/>
        </xdr:cNvSpPr>
      </xdr:nvSpPr>
      <xdr:spPr bwMode="auto">
        <a:xfrm>
          <a:off x="0" y="130340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190500</xdr:colOff>
      <xdr:row>680</xdr:row>
      <xdr:rowOff>10583</xdr:rowOff>
    </xdr:to>
    <xdr:sp macro="" textlink="">
      <xdr:nvSpPr>
        <xdr:cNvPr id="1967" name="AutoShape 943" descr="Teamlogo">
          <a:extLst>
            <a:ext uri="{FF2B5EF4-FFF2-40B4-BE49-F238E27FC236}">
              <a16:creationId xmlns:a16="http://schemas.microsoft.com/office/drawing/2014/main" id="{FFDDB483-1CAE-625D-43D7-BF9073DB812C}"/>
            </a:ext>
          </a:extLst>
        </xdr:cNvPr>
        <xdr:cNvSpPr>
          <a:spLocks noChangeAspect="1" noChangeArrowheads="1"/>
        </xdr:cNvSpPr>
      </xdr:nvSpPr>
      <xdr:spPr bwMode="auto">
        <a:xfrm>
          <a:off x="0" y="13091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190500</xdr:colOff>
      <xdr:row>683</xdr:row>
      <xdr:rowOff>10583</xdr:rowOff>
    </xdr:to>
    <xdr:sp macro="" textlink="">
      <xdr:nvSpPr>
        <xdr:cNvPr id="1968" name="AutoShape 944" descr="Teamlogo">
          <a:extLst>
            <a:ext uri="{FF2B5EF4-FFF2-40B4-BE49-F238E27FC236}">
              <a16:creationId xmlns:a16="http://schemas.microsoft.com/office/drawing/2014/main" id="{A866966B-888B-2F2D-8EBA-9887F6011055}"/>
            </a:ext>
          </a:extLst>
        </xdr:cNvPr>
        <xdr:cNvSpPr>
          <a:spLocks noChangeAspect="1" noChangeArrowheads="1"/>
        </xdr:cNvSpPr>
      </xdr:nvSpPr>
      <xdr:spPr bwMode="auto">
        <a:xfrm>
          <a:off x="0" y="131483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190500</xdr:colOff>
      <xdr:row>686</xdr:row>
      <xdr:rowOff>10583</xdr:rowOff>
    </xdr:to>
    <xdr:sp macro="" textlink="">
      <xdr:nvSpPr>
        <xdr:cNvPr id="1969" name="AutoShape 945" descr="Teamlogo">
          <a:extLst>
            <a:ext uri="{FF2B5EF4-FFF2-40B4-BE49-F238E27FC236}">
              <a16:creationId xmlns:a16="http://schemas.microsoft.com/office/drawing/2014/main" id="{D4D1830D-15F4-60FC-CE08-EC36C42E27A5}"/>
            </a:ext>
          </a:extLst>
        </xdr:cNvPr>
        <xdr:cNvSpPr>
          <a:spLocks noChangeAspect="1" noChangeArrowheads="1"/>
        </xdr:cNvSpPr>
      </xdr:nvSpPr>
      <xdr:spPr bwMode="auto">
        <a:xfrm>
          <a:off x="0" y="13205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190500</xdr:colOff>
      <xdr:row>689</xdr:row>
      <xdr:rowOff>10583</xdr:rowOff>
    </xdr:to>
    <xdr:sp macro="" textlink="">
      <xdr:nvSpPr>
        <xdr:cNvPr id="1970" name="AutoShape 946" descr="Teamlogo">
          <a:extLst>
            <a:ext uri="{FF2B5EF4-FFF2-40B4-BE49-F238E27FC236}">
              <a16:creationId xmlns:a16="http://schemas.microsoft.com/office/drawing/2014/main" id="{6F5B58CE-A214-4ED1-7D47-996BF5C70969}"/>
            </a:ext>
          </a:extLst>
        </xdr:cNvPr>
        <xdr:cNvSpPr>
          <a:spLocks noChangeAspect="1" noChangeArrowheads="1"/>
        </xdr:cNvSpPr>
      </xdr:nvSpPr>
      <xdr:spPr bwMode="auto">
        <a:xfrm>
          <a:off x="0" y="132626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190500</xdr:colOff>
      <xdr:row>692</xdr:row>
      <xdr:rowOff>10583</xdr:rowOff>
    </xdr:to>
    <xdr:sp macro="" textlink="">
      <xdr:nvSpPr>
        <xdr:cNvPr id="1971" name="AutoShape 947" descr="Teamlogo">
          <a:extLst>
            <a:ext uri="{FF2B5EF4-FFF2-40B4-BE49-F238E27FC236}">
              <a16:creationId xmlns:a16="http://schemas.microsoft.com/office/drawing/2014/main" id="{3B9C32B0-4D98-09D5-7863-B39AB57218B3}"/>
            </a:ext>
          </a:extLst>
        </xdr:cNvPr>
        <xdr:cNvSpPr>
          <a:spLocks noChangeAspect="1" noChangeArrowheads="1"/>
        </xdr:cNvSpPr>
      </xdr:nvSpPr>
      <xdr:spPr bwMode="auto">
        <a:xfrm>
          <a:off x="0" y="13319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190500</xdr:colOff>
      <xdr:row>695</xdr:row>
      <xdr:rowOff>10583</xdr:rowOff>
    </xdr:to>
    <xdr:sp macro="" textlink="">
      <xdr:nvSpPr>
        <xdr:cNvPr id="1972" name="AutoShape 948" descr="Teamlogo">
          <a:extLst>
            <a:ext uri="{FF2B5EF4-FFF2-40B4-BE49-F238E27FC236}">
              <a16:creationId xmlns:a16="http://schemas.microsoft.com/office/drawing/2014/main" id="{661E14ED-157A-6E51-FEA0-692BEA84EF67}"/>
            </a:ext>
          </a:extLst>
        </xdr:cNvPr>
        <xdr:cNvSpPr>
          <a:spLocks noChangeAspect="1" noChangeArrowheads="1"/>
        </xdr:cNvSpPr>
      </xdr:nvSpPr>
      <xdr:spPr bwMode="auto">
        <a:xfrm>
          <a:off x="0" y="133769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190500</xdr:colOff>
      <xdr:row>698</xdr:row>
      <xdr:rowOff>10583</xdr:rowOff>
    </xdr:to>
    <xdr:sp macro="" textlink="">
      <xdr:nvSpPr>
        <xdr:cNvPr id="1973" name="AutoShape 949" descr="Teamlogo">
          <a:extLst>
            <a:ext uri="{FF2B5EF4-FFF2-40B4-BE49-F238E27FC236}">
              <a16:creationId xmlns:a16="http://schemas.microsoft.com/office/drawing/2014/main" id="{D9AD093B-EBE0-8174-0CF2-0D09EDB5988B}"/>
            </a:ext>
          </a:extLst>
        </xdr:cNvPr>
        <xdr:cNvSpPr>
          <a:spLocks noChangeAspect="1" noChangeArrowheads="1"/>
        </xdr:cNvSpPr>
      </xdr:nvSpPr>
      <xdr:spPr bwMode="auto">
        <a:xfrm>
          <a:off x="0" y="1344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190500</xdr:colOff>
      <xdr:row>701</xdr:row>
      <xdr:rowOff>10583</xdr:rowOff>
    </xdr:to>
    <xdr:sp macro="" textlink="">
      <xdr:nvSpPr>
        <xdr:cNvPr id="1974" name="AutoShape 950" descr="Teamlogo">
          <a:extLst>
            <a:ext uri="{FF2B5EF4-FFF2-40B4-BE49-F238E27FC236}">
              <a16:creationId xmlns:a16="http://schemas.microsoft.com/office/drawing/2014/main" id="{557BB11E-E572-7B2D-4340-6CA193562E3A}"/>
            </a:ext>
          </a:extLst>
        </xdr:cNvPr>
        <xdr:cNvSpPr>
          <a:spLocks noChangeAspect="1" noChangeArrowheads="1"/>
        </xdr:cNvSpPr>
      </xdr:nvSpPr>
      <xdr:spPr bwMode="auto">
        <a:xfrm>
          <a:off x="0" y="1350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190500</xdr:colOff>
      <xdr:row>704</xdr:row>
      <xdr:rowOff>10583</xdr:rowOff>
    </xdr:to>
    <xdr:sp macro="" textlink="">
      <xdr:nvSpPr>
        <xdr:cNvPr id="1975" name="AutoShape 951" descr="Teamlogo">
          <a:extLst>
            <a:ext uri="{FF2B5EF4-FFF2-40B4-BE49-F238E27FC236}">
              <a16:creationId xmlns:a16="http://schemas.microsoft.com/office/drawing/2014/main" id="{2D075213-BFC5-A9FF-F599-28623B53ECB2}"/>
            </a:ext>
          </a:extLst>
        </xdr:cNvPr>
        <xdr:cNvSpPr>
          <a:spLocks noChangeAspect="1" noChangeArrowheads="1"/>
        </xdr:cNvSpPr>
      </xdr:nvSpPr>
      <xdr:spPr bwMode="auto">
        <a:xfrm>
          <a:off x="0" y="1356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190500</xdr:colOff>
      <xdr:row>707</xdr:row>
      <xdr:rowOff>10583</xdr:rowOff>
    </xdr:to>
    <xdr:sp macro="" textlink="">
      <xdr:nvSpPr>
        <xdr:cNvPr id="1976" name="AutoShape 952" descr="Teamlogo">
          <a:extLst>
            <a:ext uri="{FF2B5EF4-FFF2-40B4-BE49-F238E27FC236}">
              <a16:creationId xmlns:a16="http://schemas.microsoft.com/office/drawing/2014/main" id="{1F62C7B8-704F-2150-1FD7-EBE8B57EE6ED}"/>
            </a:ext>
          </a:extLst>
        </xdr:cNvPr>
        <xdr:cNvSpPr>
          <a:spLocks noChangeAspect="1" noChangeArrowheads="1"/>
        </xdr:cNvSpPr>
      </xdr:nvSpPr>
      <xdr:spPr bwMode="auto">
        <a:xfrm>
          <a:off x="0" y="1362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190500</xdr:colOff>
      <xdr:row>710</xdr:row>
      <xdr:rowOff>10583</xdr:rowOff>
    </xdr:to>
    <xdr:sp macro="" textlink="">
      <xdr:nvSpPr>
        <xdr:cNvPr id="1977" name="AutoShape 953" descr="Teamlogo">
          <a:extLst>
            <a:ext uri="{FF2B5EF4-FFF2-40B4-BE49-F238E27FC236}">
              <a16:creationId xmlns:a16="http://schemas.microsoft.com/office/drawing/2014/main" id="{B7126FCB-D71E-665A-2D91-9DE3BF693BD1}"/>
            </a:ext>
          </a:extLst>
        </xdr:cNvPr>
        <xdr:cNvSpPr>
          <a:spLocks noChangeAspect="1" noChangeArrowheads="1"/>
        </xdr:cNvSpPr>
      </xdr:nvSpPr>
      <xdr:spPr bwMode="auto">
        <a:xfrm>
          <a:off x="0" y="1367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190500</xdr:colOff>
      <xdr:row>713</xdr:row>
      <xdr:rowOff>10583</xdr:rowOff>
    </xdr:to>
    <xdr:sp macro="" textlink="">
      <xdr:nvSpPr>
        <xdr:cNvPr id="1978" name="AutoShape 954" descr="Teamlogo">
          <a:extLst>
            <a:ext uri="{FF2B5EF4-FFF2-40B4-BE49-F238E27FC236}">
              <a16:creationId xmlns:a16="http://schemas.microsoft.com/office/drawing/2014/main" id="{B6D2EDE9-A4D3-1D65-7B50-428F5A862A7F}"/>
            </a:ext>
          </a:extLst>
        </xdr:cNvPr>
        <xdr:cNvSpPr>
          <a:spLocks noChangeAspect="1" noChangeArrowheads="1"/>
        </xdr:cNvSpPr>
      </xdr:nvSpPr>
      <xdr:spPr bwMode="auto">
        <a:xfrm>
          <a:off x="0" y="1373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190500</xdr:colOff>
      <xdr:row>716</xdr:row>
      <xdr:rowOff>10583</xdr:rowOff>
    </xdr:to>
    <xdr:sp macro="" textlink="">
      <xdr:nvSpPr>
        <xdr:cNvPr id="1979" name="AutoShape 955" descr="Teamlogo">
          <a:extLst>
            <a:ext uri="{FF2B5EF4-FFF2-40B4-BE49-F238E27FC236}">
              <a16:creationId xmlns:a16="http://schemas.microsoft.com/office/drawing/2014/main" id="{59F42C9D-CF39-91BD-3EF9-15B1D6CBDC7F}"/>
            </a:ext>
          </a:extLst>
        </xdr:cNvPr>
        <xdr:cNvSpPr>
          <a:spLocks noChangeAspect="1" noChangeArrowheads="1"/>
        </xdr:cNvSpPr>
      </xdr:nvSpPr>
      <xdr:spPr bwMode="auto">
        <a:xfrm>
          <a:off x="0" y="1379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190500</xdr:colOff>
      <xdr:row>719</xdr:row>
      <xdr:rowOff>10583</xdr:rowOff>
    </xdr:to>
    <xdr:sp macro="" textlink="">
      <xdr:nvSpPr>
        <xdr:cNvPr id="1980" name="AutoShape 956" descr="Teamlogo">
          <a:extLst>
            <a:ext uri="{FF2B5EF4-FFF2-40B4-BE49-F238E27FC236}">
              <a16:creationId xmlns:a16="http://schemas.microsoft.com/office/drawing/2014/main" id="{0AE49A32-9AB9-BBF2-64C3-CCA0A6E60EB0}"/>
            </a:ext>
          </a:extLst>
        </xdr:cNvPr>
        <xdr:cNvSpPr>
          <a:spLocks noChangeAspect="1" noChangeArrowheads="1"/>
        </xdr:cNvSpPr>
      </xdr:nvSpPr>
      <xdr:spPr bwMode="auto">
        <a:xfrm>
          <a:off x="0" y="1384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5</xdr:row>
      <xdr:rowOff>0</xdr:rowOff>
    </xdr:from>
    <xdr:ext cx="190500" cy="190500"/>
    <xdr:sp macro="" textlink="">
      <xdr:nvSpPr>
        <xdr:cNvPr id="2" name="AutoShape 719" descr="Teamlogo">
          <a:extLst>
            <a:ext uri="{FF2B5EF4-FFF2-40B4-BE49-F238E27FC236}">
              <a16:creationId xmlns:a16="http://schemas.microsoft.com/office/drawing/2014/main" id="{C1E858ED-D118-4387-9A7B-FF8522E514DC}"/>
            </a:ext>
          </a:extLst>
        </xdr:cNvPr>
        <xdr:cNvSpPr>
          <a:spLocks noChangeAspect="1" noChangeArrowheads="1"/>
        </xdr:cNvSpPr>
      </xdr:nvSpPr>
      <xdr:spPr bwMode="auto">
        <a:xfrm>
          <a:off x="0" y="9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190500" cy="190500"/>
    <xdr:sp macro="" textlink="">
      <xdr:nvSpPr>
        <xdr:cNvPr id="3" name="AutoShape 720" descr="Teamlogo">
          <a:extLst>
            <a:ext uri="{FF2B5EF4-FFF2-40B4-BE49-F238E27FC236}">
              <a16:creationId xmlns:a16="http://schemas.microsoft.com/office/drawing/2014/main" id="{5CBBA903-B26C-425D-B0B8-CA2D54AD4BEC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190500" cy="190500"/>
    <xdr:sp macro="" textlink="">
      <xdr:nvSpPr>
        <xdr:cNvPr id="4" name="AutoShape 721" descr="Teamlogo">
          <a:extLst>
            <a:ext uri="{FF2B5EF4-FFF2-40B4-BE49-F238E27FC236}">
              <a16:creationId xmlns:a16="http://schemas.microsoft.com/office/drawing/2014/main" id="{9959695E-5909-47E3-8332-6281F68F5359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190500" cy="190500"/>
    <xdr:sp macro="" textlink="">
      <xdr:nvSpPr>
        <xdr:cNvPr id="5" name="AutoShape 722" descr="Teamlogo">
          <a:extLst>
            <a:ext uri="{FF2B5EF4-FFF2-40B4-BE49-F238E27FC236}">
              <a16:creationId xmlns:a16="http://schemas.microsoft.com/office/drawing/2014/main" id="{41D2B379-BD9C-40F7-BF13-65E010CA6148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190500" cy="190500"/>
    <xdr:sp macro="" textlink="">
      <xdr:nvSpPr>
        <xdr:cNvPr id="6" name="AutoShape 723" descr="Teamlogo">
          <a:extLst>
            <a:ext uri="{FF2B5EF4-FFF2-40B4-BE49-F238E27FC236}">
              <a16:creationId xmlns:a16="http://schemas.microsoft.com/office/drawing/2014/main" id="{26109CB2-093C-4947-A156-C5EC6C99C5EF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90500" cy="190500"/>
    <xdr:sp macro="" textlink="">
      <xdr:nvSpPr>
        <xdr:cNvPr id="7" name="AutoShape 724" descr="Teamlogo">
          <a:extLst>
            <a:ext uri="{FF2B5EF4-FFF2-40B4-BE49-F238E27FC236}">
              <a16:creationId xmlns:a16="http://schemas.microsoft.com/office/drawing/2014/main" id="{5723DBBD-C90E-460E-AB04-046D0A32CAFA}"/>
            </a:ext>
          </a:extLst>
        </xdr:cNvPr>
        <xdr:cNvSpPr>
          <a:spLocks noChangeAspect="1" noChangeArrowheads="1"/>
        </xdr:cNvSpPr>
      </xdr:nvSpPr>
      <xdr:spPr bwMode="auto">
        <a:xfrm>
          <a:off x="0" y="38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190500" cy="190500"/>
    <xdr:sp macro="" textlink="">
      <xdr:nvSpPr>
        <xdr:cNvPr id="8" name="AutoShape 725" descr="Teamlogo">
          <a:extLst>
            <a:ext uri="{FF2B5EF4-FFF2-40B4-BE49-F238E27FC236}">
              <a16:creationId xmlns:a16="http://schemas.microsoft.com/office/drawing/2014/main" id="{621DDB57-A2F4-42CE-85B0-98448397AE0D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190500" cy="190500"/>
    <xdr:sp macro="" textlink="">
      <xdr:nvSpPr>
        <xdr:cNvPr id="9" name="AutoShape 726" descr="Teamlogo">
          <a:extLst>
            <a:ext uri="{FF2B5EF4-FFF2-40B4-BE49-F238E27FC236}">
              <a16:creationId xmlns:a16="http://schemas.microsoft.com/office/drawing/2014/main" id="{B59C57BA-4A30-404A-8C52-EFDB1CFDEA65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190500" cy="190500"/>
    <xdr:sp macro="" textlink="">
      <xdr:nvSpPr>
        <xdr:cNvPr id="10" name="AutoShape 727" descr="Teamlogo">
          <a:extLst>
            <a:ext uri="{FF2B5EF4-FFF2-40B4-BE49-F238E27FC236}">
              <a16:creationId xmlns:a16="http://schemas.microsoft.com/office/drawing/2014/main" id="{86A9B65B-0C17-43AC-B418-FD59FD5F7350}"/>
            </a:ext>
          </a:extLst>
        </xdr:cNvPr>
        <xdr:cNvSpPr>
          <a:spLocks noChangeAspect="1" noChangeArrowheads="1"/>
        </xdr:cNvSpPr>
      </xdr:nvSpPr>
      <xdr:spPr bwMode="auto">
        <a:xfrm>
          <a:off x="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190500" cy="190500"/>
    <xdr:sp macro="" textlink="">
      <xdr:nvSpPr>
        <xdr:cNvPr id="11" name="AutoShape 728" descr="Teamlogo">
          <a:extLst>
            <a:ext uri="{FF2B5EF4-FFF2-40B4-BE49-F238E27FC236}">
              <a16:creationId xmlns:a16="http://schemas.microsoft.com/office/drawing/2014/main" id="{B4DE21F6-F106-4663-A51E-915BC2AAABC0}"/>
            </a:ext>
          </a:extLst>
        </xdr:cNvPr>
        <xdr:cNvSpPr>
          <a:spLocks noChangeAspect="1" noChangeArrowheads="1"/>
        </xdr:cNvSpPr>
      </xdr:nvSpPr>
      <xdr:spPr bwMode="auto">
        <a:xfrm>
          <a:off x="0" y="60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190500" cy="190500"/>
    <xdr:sp macro="" textlink="">
      <xdr:nvSpPr>
        <xdr:cNvPr id="12" name="AutoShape 729" descr="Teamlogo">
          <a:extLst>
            <a:ext uri="{FF2B5EF4-FFF2-40B4-BE49-F238E27FC236}">
              <a16:creationId xmlns:a16="http://schemas.microsoft.com/office/drawing/2014/main" id="{AE85EFDB-F281-4D05-AD10-52EAC82F179E}"/>
            </a:ext>
          </a:extLst>
        </xdr:cNvPr>
        <xdr:cNvSpPr>
          <a:spLocks noChangeAspect="1" noChangeArrowheads="1"/>
        </xdr:cNvSpPr>
      </xdr:nvSpPr>
      <xdr:spPr bwMode="auto">
        <a:xfrm>
          <a:off x="0" y="66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190500" cy="190500"/>
    <xdr:sp macro="" textlink="">
      <xdr:nvSpPr>
        <xdr:cNvPr id="13" name="AutoShape 730" descr="Teamlogo">
          <a:extLst>
            <a:ext uri="{FF2B5EF4-FFF2-40B4-BE49-F238E27FC236}">
              <a16:creationId xmlns:a16="http://schemas.microsoft.com/office/drawing/2014/main" id="{28E09444-00BE-4781-9D22-162BDAF4AD35}"/>
            </a:ext>
          </a:extLst>
        </xdr:cNvPr>
        <xdr:cNvSpPr>
          <a:spLocks noChangeAspect="1" noChangeArrowheads="1"/>
        </xdr:cNvSpPr>
      </xdr:nvSpPr>
      <xdr:spPr bwMode="auto">
        <a:xfrm>
          <a:off x="0" y="72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190500" cy="190500"/>
    <xdr:sp macro="" textlink="">
      <xdr:nvSpPr>
        <xdr:cNvPr id="14" name="AutoShape 731" descr="Teamlogo">
          <a:extLst>
            <a:ext uri="{FF2B5EF4-FFF2-40B4-BE49-F238E27FC236}">
              <a16:creationId xmlns:a16="http://schemas.microsoft.com/office/drawing/2014/main" id="{F84F3023-D7E4-4D58-8D96-A061449E0BC3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190500" cy="190500"/>
    <xdr:sp macro="" textlink="">
      <xdr:nvSpPr>
        <xdr:cNvPr id="15" name="AutoShape 732" descr="Teamlogo">
          <a:extLst>
            <a:ext uri="{FF2B5EF4-FFF2-40B4-BE49-F238E27FC236}">
              <a16:creationId xmlns:a16="http://schemas.microsoft.com/office/drawing/2014/main" id="{02F014F8-EA29-49B3-BFD1-0DEDA3B062FE}"/>
            </a:ext>
          </a:extLst>
        </xdr:cNvPr>
        <xdr:cNvSpPr>
          <a:spLocks noChangeAspect="1" noChangeArrowheads="1"/>
        </xdr:cNvSpPr>
      </xdr:nvSpPr>
      <xdr:spPr bwMode="auto">
        <a:xfrm>
          <a:off x="0" y="83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190500" cy="190500"/>
    <xdr:sp macro="" textlink="">
      <xdr:nvSpPr>
        <xdr:cNvPr id="16" name="AutoShape 733" descr="Teamlogo">
          <a:extLst>
            <a:ext uri="{FF2B5EF4-FFF2-40B4-BE49-F238E27FC236}">
              <a16:creationId xmlns:a16="http://schemas.microsoft.com/office/drawing/2014/main" id="{6A7E4320-0856-44D8-9047-CAB1E9BB0C6D}"/>
            </a:ext>
          </a:extLst>
        </xdr:cNvPr>
        <xdr:cNvSpPr>
          <a:spLocks noChangeAspect="1" noChangeArrowheads="1"/>
        </xdr:cNvSpPr>
      </xdr:nvSpPr>
      <xdr:spPr bwMode="auto">
        <a:xfrm>
          <a:off x="0" y="89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190500" cy="190500"/>
    <xdr:sp macro="" textlink="">
      <xdr:nvSpPr>
        <xdr:cNvPr id="17" name="AutoShape 734" descr="Teamlogo">
          <a:extLst>
            <a:ext uri="{FF2B5EF4-FFF2-40B4-BE49-F238E27FC236}">
              <a16:creationId xmlns:a16="http://schemas.microsoft.com/office/drawing/2014/main" id="{1BF50846-A1EE-47F7-9685-4968431415E1}"/>
            </a:ext>
          </a:extLst>
        </xdr:cNvPr>
        <xdr:cNvSpPr>
          <a:spLocks noChangeAspect="1" noChangeArrowheads="1"/>
        </xdr:cNvSpPr>
      </xdr:nvSpPr>
      <xdr:spPr bwMode="auto">
        <a:xfrm>
          <a:off x="0" y="95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190500" cy="190500"/>
    <xdr:sp macro="" textlink="">
      <xdr:nvSpPr>
        <xdr:cNvPr id="18" name="AutoShape 735" descr="Teamlogo">
          <a:extLst>
            <a:ext uri="{FF2B5EF4-FFF2-40B4-BE49-F238E27FC236}">
              <a16:creationId xmlns:a16="http://schemas.microsoft.com/office/drawing/2014/main" id="{0B69DE13-E8A5-4145-B7C6-20C27CCD4E6D}"/>
            </a:ext>
          </a:extLst>
        </xdr:cNvPr>
        <xdr:cNvSpPr>
          <a:spLocks noChangeAspect="1" noChangeArrowheads="1"/>
        </xdr:cNvSpPr>
      </xdr:nvSpPr>
      <xdr:spPr bwMode="auto">
        <a:xfrm>
          <a:off x="0" y="1009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190500" cy="190500"/>
    <xdr:sp macro="" textlink="">
      <xdr:nvSpPr>
        <xdr:cNvPr id="19" name="AutoShape 736" descr="Teamlogo">
          <a:extLst>
            <a:ext uri="{FF2B5EF4-FFF2-40B4-BE49-F238E27FC236}">
              <a16:creationId xmlns:a16="http://schemas.microsoft.com/office/drawing/2014/main" id="{F3D69DF1-22C2-4B0F-9BDB-FB28FCEAD45B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190500" cy="190500"/>
    <xdr:sp macro="" textlink="">
      <xdr:nvSpPr>
        <xdr:cNvPr id="20" name="AutoShape 737" descr="Teamlogo">
          <a:extLst>
            <a:ext uri="{FF2B5EF4-FFF2-40B4-BE49-F238E27FC236}">
              <a16:creationId xmlns:a16="http://schemas.microsoft.com/office/drawing/2014/main" id="{CF0A6FB2-7958-42A1-B234-89D6BC6D3192}"/>
            </a:ext>
          </a:extLst>
        </xdr:cNvPr>
        <xdr:cNvSpPr>
          <a:spLocks noChangeAspect="1" noChangeArrowheads="1"/>
        </xdr:cNvSpPr>
      </xdr:nvSpPr>
      <xdr:spPr bwMode="auto">
        <a:xfrm>
          <a:off x="0" y="112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190500" cy="190500"/>
    <xdr:sp macro="" textlink="">
      <xdr:nvSpPr>
        <xdr:cNvPr id="21" name="AutoShape 738" descr="Teamlogo">
          <a:extLst>
            <a:ext uri="{FF2B5EF4-FFF2-40B4-BE49-F238E27FC236}">
              <a16:creationId xmlns:a16="http://schemas.microsoft.com/office/drawing/2014/main" id="{7FBEC20E-4660-409E-A87B-43A990B5F3D4}"/>
            </a:ext>
          </a:extLst>
        </xdr:cNvPr>
        <xdr:cNvSpPr>
          <a:spLocks noChangeAspect="1" noChangeArrowheads="1"/>
        </xdr:cNvSpPr>
      </xdr:nvSpPr>
      <xdr:spPr bwMode="auto">
        <a:xfrm>
          <a:off x="0" y="118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190500" cy="190500"/>
    <xdr:sp macro="" textlink="">
      <xdr:nvSpPr>
        <xdr:cNvPr id="22" name="AutoShape 739" descr="Teamlogo">
          <a:extLst>
            <a:ext uri="{FF2B5EF4-FFF2-40B4-BE49-F238E27FC236}">
              <a16:creationId xmlns:a16="http://schemas.microsoft.com/office/drawing/2014/main" id="{2A845982-1B3A-491D-A499-B0EED6EC5868}"/>
            </a:ext>
          </a:extLst>
        </xdr:cNvPr>
        <xdr:cNvSpPr>
          <a:spLocks noChangeAspect="1" noChangeArrowheads="1"/>
        </xdr:cNvSpPr>
      </xdr:nvSpPr>
      <xdr:spPr bwMode="auto">
        <a:xfrm>
          <a:off x="0" y="123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190500" cy="190500"/>
    <xdr:sp macro="" textlink="">
      <xdr:nvSpPr>
        <xdr:cNvPr id="23" name="AutoShape 740" descr="Teamlogo">
          <a:extLst>
            <a:ext uri="{FF2B5EF4-FFF2-40B4-BE49-F238E27FC236}">
              <a16:creationId xmlns:a16="http://schemas.microsoft.com/office/drawing/2014/main" id="{F52AA519-7B84-407D-9FBF-E6729905A6BA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190500" cy="190500"/>
    <xdr:sp macro="" textlink="">
      <xdr:nvSpPr>
        <xdr:cNvPr id="24" name="AutoShape 741" descr="Teamlogo">
          <a:extLst>
            <a:ext uri="{FF2B5EF4-FFF2-40B4-BE49-F238E27FC236}">
              <a16:creationId xmlns:a16="http://schemas.microsoft.com/office/drawing/2014/main" id="{6858FCA4-9FB8-442A-BA4F-28BF355F9347}"/>
            </a:ext>
          </a:extLst>
        </xdr:cNvPr>
        <xdr:cNvSpPr>
          <a:spLocks noChangeAspect="1" noChangeArrowheads="1"/>
        </xdr:cNvSpPr>
      </xdr:nvSpPr>
      <xdr:spPr bwMode="auto">
        <a:xfrm>
          <a:off x="0" y="135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190500" cy="190500"/>
    <xdr:sp macro="" textlink="">
      <xdr:nvSpPr>
        <xdr:cNvPr id="25" name="AutoShape 742" descr="Teamlogo">
          <a:extLst>
            <a:ext uri="{FF2B5EF4-FFF2-40B4-BE49-F238E27FC236}">
              <a16:creationId xmlns:a16="http://schemas.microsoft.com/office/drawing/2014/main" id="{F3F3BF88-4038-4126-B160-CB54FCA83B41}"/>
            </a:ext>
          </a:extLst>
        </xdr:cNvPr>
        <xdr:cNvSpPr>
          <a:spLocks noChangeAspect="1" noChangeArrowheads="1"/>
        </xdr:cNvSpPr>
      </xdr:nvSpPr>
      <xdr:spPr bwMode="auto">
        <a:xfrm>
          <a:off x="0" y="140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190500" cy="190500"/>
    <xdr:sp macro="" textlink="">
      <xdr:nvSpPr>
        <xdr:cNvPr id="26" name="AutoShape 743" descr="Teamlogo">
          <a:extLst>
            <a:ext uri="{FF2B5EF4-FFF2-40B4-BE49-F238E27FC236}">
              <a16:creationId xmlns:a16="http://schemas.microsoft.com/office/drawing/2014/main" id="{4E1680BE-9B70-42F6-B36C-F169C3E3E1D6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190500" cy="190500"/>
    <xdr:sp macro="" textlink="">
      <xdr:nvSpPr>
        <xdr:cNvPr id="27" name="AutoShape 744" descr="Teamlogo">
          <a:extLst>
            <a:ext uri="{FF2B5EF4-FFF2-40B4-BE49-F238E27FC236}">
              <a16:creationId xmlns:a16="http://schemas.microsoft.com/office/drawing/2014/main" id="{224535AF-349D-40C0-BB72-1082C1B8E8D3}"/>
            </a:ext>
          </a:extLst>
        </xdr:cNvPr>
        <xdr:cNvSpPr>
          <a:spLocks noChangeAspect="1" noChangeArrowheads="1"/>
        </xdr:cNvSpPr>
      </xdr:nvSpPr>
      <xdr:spPr bwMode="auto">
        <a:xfrm>
          <a:off x="0" y="1539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190500" cy="190500"/>
    <xdr:sp macro="" textlink="">
      <xdr:nvSpPr>
        <xdr:cNvPr id="28" name="AutoShape 745" descr="Teamlogo">
          <a:extLst>
            <a:ext uri="{FF2B5EF4-FFF2-40B4-BE49-F238E27FC236}">
              <a16:creationId xmlns:a16="http://schemas.microsoft.com/office/drawing/2014/main" id="{93A3E049-C652-4797-807F-4795844593FA}"/>
            </a:ext>
          </a:extLst>
        </xdr:cNvPr>
        <xdr:cNvSpPr>
          <a:spLocks noChangeAspect="1" noChangeArrowheads="1"/>
        </xdr:cNvSpPr>
      </xdr:nvSpPr>
      <xdr:spPr bwMode="auto">
        <a:xfrm>
          <a:off x="0" y="15963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190500" cy="190500"/>
    <xdr:sp macro="" textlink="">
      <xdr:nvSpPr>
        <xdr:cNvPr id="29" name="AutoShape 746" descr="Teamlogo">
          <a:extLst>
            <a:ext uri="{FF2B5EF4-FFF2-40B4-BE49-F238E27FC236}">
              <a16:creationId xmlns:a16="http://schemas.microsoft.com/office/drawing/2014/main" id="{535CE42B-BCFA-4970-93CA-117286E8C85B}"/>
            </a:ext>
          </a:extLst>
        </xdr:cNvPr>
        <xdr:cNvSpPr>
          <a:spLocks noChangeAspect="1" noChangeArrowheads="1"/>
        </xdr:cNvSpPr>
      </xdr:nvSpPr>
      <xdr:spPr bwMode="auto">
        <a:xfrm>
          <a:off x="0" y="1668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41</xdr:row>
      <xdr:rowOff>0</xdr:rowOff>
    </xdr:from>
    <xdr:ext cx="190500" cy="190500"/>
    <xdr:sp macro="" textlink="">
      <xdr:nvSpPr>
        <xdr:cNvPr id="30" name="AutoShape 747" descr="Teamlogo">
          <a:extLst>
            <a:ext uri="{FF2B5EF4-FFF2-40B4-BE49-F238E27FC236}">
              <a16:creationId xmlns:a16="http://schemas.microsoft.com/office/drawing/2014/main" id="{7378A290-CE27-4665-9CA2-F9DB5D35E41D}"/>
            </a:ext>
          </a:extLst>
        </xdr:cNvPr>
        <xdr:cNvSpPr>
          <a:spLocks noChangeAspect="1" noChangeArrowheads="1"/>
        </xdr:cNvSpPr>
      </xdr:nvSpPr>
      <xdr:spPr bwMode="auto">
        <a:xfrm>
          <a:off x="0" y="17259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190500" cy="190500"/>
    <xdr:sp macro="" textlink="">
      <xdr:nvSpPr>
        <xdr:cNvPr id="31" name="AutoShape 748" descr="Teamlogo">
          <a:extLst>
            <a:ext uri="{FF2B5EF4-FFF2-40B4-BE49-F238E27FC236}">
              <a16:creationId xmlns:a16="http://schemas.microsoft.com/office/drawing/2014/main" id="{E3DD317B-903C-4C6F-A5CF-79D731699559}"/>
            </a:ext>
          </a:extLst>
        </xdr:cNvPr>
        <xdr:cNvSpPr>
          <a:spLocks noChangeAspect="1" noChangeArrowheads="1"/>
        </xdr:cNvSpPr>
      </xdr:nvSpPr>
      <xdr:spPr bwMode="auto">
        <a:xfrm>
          <a:off x="0" y="1783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190500" cy="190500"/>
    <xdr:sp macro="" textlink="">
      <xdr:nvSpPr>
        <xdr:cNvPr id="32" name="AutoShape 749" descr="Teamlogo">
          <a:extLst>
            <a:ext uri="{FF2B5EF4-FFF2-40B4-BE49-F238E27FC236}">
              <a16:creationId xmlns:a16="http://schemas.microsoft.com/office/drawing/2014/main" id="{6696C8F3-3C7F-408E-B7EA-D35954DF1C1F}"/>
            </a:ext>
          </a:extLst>
        </xdr:cNvPr>
        <xdr:cNvSpPr>
          <a:spLocks noChangeAspect="1" noChangeArrowheads="1"/>
        </xdr:cNvSpPr>
      </xdr:nvSpPr>
      <xdr:spPr bwMode="auto">
        <a:xfrm>
          <a:off x="0" y="18402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190500" cy="190500"/>
    <xdr:sp macro="" textlink="">
      <xdr:nvSpPr>
        <xdr:cNvPr id="33" name="AutoShape 750" descr="Teamlogo">
          <a:extLst>
            <a:ext uri="{FF2B5EF4-FFF2-40B4-BE49-F238E27FC236}">
              <a16:creationId xmlns:a16="http://schemas.microsoft.com/office/drawing/2014/main" id="{CAC47DF7-9B25-48E5-ACF0-6CC0FFF68EB2}"/>
            </a:ext>
          </a:extLst>
        </xdr:cNvPr>
        <xdr:cNvSpPr>
          <a:spLocks noChangeAspect="1" noChangeArrowheads="1"/>
        </xdr:cNvSpPr>
      </xdr:nvSpPr>
      <xdr:spPr bwMode="auto">
        <a:xfrm>
          <a:off x="0" y="1897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190500" cy="190500"/>
    <xdr:sp macro="" textlink="">
      <xdr:nvSpPr>
        <xdr:cNvPr id="34" name="AutoShape 751" descr="Teamlogo">
          <a:extLst>
            <a:ext uri="{FF2B5EF4-FFF2-40B4-BE49-F238E27FC236}">
              <a16:creationId xmlns:a16="http://schemas.microsoft.com/office/drawing/2014/main" id="{F9497E8F-7FF1-46A0-9DD5-EA9CD10A7462}"/>
            </a:ext>
          </a:extLst>
        </xdr:cNvPr>
        <xdr:cNvSpPr>
          <a:spLocks noChangeAspect="1" noChangeArrowheads="1"/>
        </xdr:cNvSpPr>
      </xdr:nvSpPr>
      <xdr:spPr bwMode="auto">
        <a:xfrm>
          <a:off x="0" y="19545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190500" cy="190500"/>
    <xdr:sp macro="" textlink="">
      <xdr:nvSpPr>
        <xdr:cNvPr id="35" name="AutoShape 752" descr="Teamlogo">
          <a:extLst>
            <a:ext uri="{FF2B5EF4-FFF2-40B4-BE49-F238E27FC236}">
              <a16:creationId xmlns:a16="http://schemas.microsoft.com/office/drawing/2014/main" id="{78DD6AD6-3883-41EA-A1DE-716548208E7D}"/>
            </a:ext>
          </a:extLst>
        </xdr:cNvPr>
        <xdr:cNvSpPr>
          <a:spLocks noChangeAspect="1" noChangeArrowheads="1"/>
        </xdr:cNvSpPr>
      </xdr:nvSpPr>
      <xdr:spPr bwMode="auto">
        <a:xfrm>
          <a:off x="0" y="2011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90500" cy="190500"/>
    <xdr:sp macro="" textlink="">
      <xdr:nvSpPr>
        <xdr:cNvPr id="36" name="AutoShape 753" descr="Teamlogo">
          <a:extLst>
            <a:ext uri="{FF2B5EF4-FFF2-40B4-BE49-F238E27FC236}">
              <a16:creationId xmlns:a16="http://schemas.microsoft.com/office/drawing/2014/main" id="{A3F7A40F-17C6-4319-B6ED-2E0B7B83CD0A}"/>
            </a:ext>
          </a:extLst>
        </xdr:cNvPr>
        <xdr:cNvSpPr>
          <a:spLocks noChangeAspect="1" noChangeArrowheads="1"/>
        </xdr:cNvSpPr>
      </xdr:nvSpPr>
      <xdr:spPr bwMode="auto">
        <a:xfrm>
          <a:off x="0" y="2068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55</xdr:row>
      <xdr:rowOff>0</xdr:rowOff>
    </xdr:from>
    <xdr:ext cx="190500" cy="190500"/>
    <xdr:sp macro="" textlink="">
      <xdr:nvSpPr>
        <xdr:cNvPr id="37" name="AutoShape 754" descr="Teamlogo">
          <a:extLst>
            <a:ext uri="{FF2B5EF4-FFF2-40B4-BE49-F238E27FC236}">
              <a16:creationId xmlns:a16="http://schemas.microsoft.com/office/drawing/2014/main" id="{B8EAE6AC-420D-46C3-9F71-EF0D4730EDB7}"/>
            </a:ext>
          </a:extLst>
        </xdr:cNvPr>
        <xdr:cNvSpPr>
          <a:spLocks noChangeAspect="1" noChangeArrowheads="1"/>
        </xdr:cNvSpPr>
      </xdr:nvSpPr>
      <xdr:spPr bwMode="auto">
        <a:xfrm>
          <a:off x="0" y="2125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190500" cy="190500"/>
    <xdr:sp macro="" textlink="">
      <xdr:nvSpPr>
        <xdr:cNvPr id="38" name="AutoShape 755" descr="Teamlogo">
          <a:extLst>
            <a:ext uri="{FF2B5EF4-FFF2-40B4-BE49-F238E27FC236}">
              <a16:creationId xmlns:a16="http://schemas.microsoft.com/office/drawing/2014/main" id="{B7DD7763-AA76-4C83-A102-CFC983715A1A}"/>
            </a:ext>
          </a:extLst>
        </xdr:cNvPr>
        <xdr:cNvSpPr>
          <a:spLocks noChangeAspect="1" noChangeArrowheads="1"/>
        </xdr:cNvSpPr>
      </xdr:nvSpPr>
      <xdr:spPr bwMode="auto">
        <a:xfrm>
          <a:off x="0" y="21831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190500" cy="190500"/>
    <xdr:sp macro="" textlink="">
      <xdr:nvSpPr>
        <xdr:cNvPr id="39" name="AutoShape 756" descr="Teamlogo">
          <a:extLst>
            <a:ext uri="{FF2B5EF4-FFF2-40B4-BE49-F238E27FC236}">
              <a16:creationId xmlns:a16="http://schemas.microsoft.com/office/drawing/2014/main" id="{F3E8C9F2-F251-4442-978B-82EDFB1A59A3}"/>
            </a:ext>
          </a:extLst>
        </xdr:cNvPr>
        <xdr:cNvSpPr>
          <a:spLocks noChangeAspect="1" noChangeArrowheads="1"/>
        </xdr:cNvSpPr>
      </xdr:nvSpPr>
      <xdr:spPr bwMode="auto">
        <a:xfrm>
          <a:off x="0" y="2240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47</xdr:row>
      <xdr:rowOff>0</xdr:rowOff>
    </xdr:from>
    <xdr:ext cx="190500" cy="190500"/>
    <xdr:sp macro="" textlink="">
      <xdr:nvSpPr>
        <xdr:cNvPr id="40" name="AutoShape 757" descr="Teamlogo">
          <a:extLst>
            <a:ext uri="{FF2B5EF4-FFF2-40B4-BE49-F238E27FC236}">
              <a16:creationId xmlns:a16="http://schemas.microsoft.com/office/drawing/2014/main" id="{CD1E9E0A-0F82-4522-9D42-9CC6F8B6A67A}"/>
            </a:ext>
          </a:extLst>
        </xdr:cNvPr>
        <xdr:cNvSpPr>
          <a:spLocks noChangeAspect="1" noChangeArrowheads="1"/>
        </xdr:cNvSpPr>
      </xdr:nvSpPr>
      <xdr:spPr bwMode="auto">
        <a:xfrm>
          <a:off x="0" y="23126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190500" cy="190500"/>
    <xdr:sp macro="" textlink="">
      <xdr:nvSpPr>
        <xdr:cNvPr id="41" name="AutoShape 758" descr="Teamlogo">
          <a:extLst>
            <a:ext uri="{FF2B5EF4-FFF2-40B4-BE49-F238E27FC236}">
              <a16:creationId xmlns:a16="http://schemas.microsoft.com/office/drawing/2014/main" id="{B37C6F5E-1A4B-41A7-A116-7ECFC91AEAE8}"/>
            </a:ext>
          </a:extLst>
        </xdr:cNvPr>
        <xdr:cNvSpPr>
          <a:spLocks noChangeAspect="1" noChangeArrowheads="1"/>
        </xdr:cNvSpPr>
      </xdr:nvSpPr>
      <xdr:spPr bwMode="auto">
        <a:xfrm>
          <a:off x="0" y="2369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190500" cy="190500"/>
    <xdr:sp macro="" textlink="">
      <xdr:nvSpPr>
        <xdr:cNvPr id="42" name="AutoShape 759" descr="Teamlogo">
          <a:extLst>
            <a:ext uri="{FF2B5EF4-FFF2-40B4-BE49-F238E27FC236}">
              <a16:creationId xmlns:a16="http://schemas.microsoft.com/office/drawing/2014/main" id="{6332C172-7739-4B2C-8B1B-25308966E3A1}"/>
            </a:ext>
          </a:extLst>
        </xdr:cNvPr>
        <xdr:cNvSpPr>
          <a:spLocks noChangeAspect="1" noChangeArrowheads="1"/>
        </xdr:cNvSpPr>
      </xdr:nvSpPr>
      <xdr:spPr bwMode="auto">
        <a:xfrm>
          <a:off x="0" y="24269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190500" cy="190500"/>
    <xdr:sp macro="" textlink="">
      <xdr:nvSpPr>
        <xdr:cNvPr id="43" name="AutoShape 760" descr="Teamlogo">
          <a:extLst>
            <a:ext uri="{FF2B5EF4-FFF2-40B4-BE49-F238E27FC236}">
              <a16:creationId xmlns:a16="http://schemas.microsoft.com/office/drawing/2014/main" id="{39CAF8E1-4156-4B3E-94E8-89EEA1C499A3}"/>
            </a:ext>
          </a:extLst>
        </xdr:cNvPr>
        <xdr:cNvSpPr>
          <a:spLocks noChangeAspect="1" noChangeArrowheads="1"/>
        </xdr:cNvSpPr>
      </xdr:nvSpPr>
      <xdr:spPr bwMode="auto">
        <a:xfrm>
          <a:off x="0" y="2484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190500" cy="190500"/>
    <xdr:sp macro="" textlink="">
      <xdr:nvSpPr>
        <xdr:cNvPr id="44" name="AutoShape 761" descr="Teamlogo">
          <a:extLst>
            <a:ext uri="{FF2B5EF4-FFF2-40B4-BE49-F238E27FC236}">
              <a16:creationId xmlns:a16="http://schemas.microsoft.com/office/drawing/2014/main" id="{C0156BF7-7161-4017-9502-597ADF59B7D1}"/>
            </a:ext>
          </a:extLst>
        </xdr:cNvPr>
        <xdr:cNvSpPr>
          <a:spLocks noChangeAspect="1" noChangeArrowheads="1"/>
        </xdr:cNvSpPr>
      </xdr:nvSpPr>
      <xdr:spPr bwMode="auto">
        <a:xfrm>
          <a:off x="0" y="25412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190500" cy="190500"/>
    <xdr:sp macro="" textlink="">
      <xdr:nvSpPr>
        <xdr:cNvPr id="45" name="AutoShape 762" descr="Teamlogo">
          <a:extLst>
            <a:ext uri="{FF2B5EF4-FFF2-40B4-BE49-F238E27FC236}">
              <a16:creationId xmlns:a16="http://schemas.microsoft.com/office/drawing/2014/main" id="{1C19A4B8-DBBA-4D4C-83B5-7EE59BD600EE}"/>
            </a:ext>
          </a:extLst>
        </xdr:cNvPr>
        <xdr:cNvSpPr>
          <a:spLocks noChangeAspect="1" noChangeArrowheads="1"/>
        </xdr:cNvSpPr>
      </xdr:nvSpPr>
      <xdr:spPr bwMode="auto">
        <a:xfrm>
          <a:off x="0" y="2598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190500" cy="190500"/>
    <xdr:sp macro="" textlink="">
      <xdr:nvSpPr>
        <xdr:cNvPr id="46" name="AutoShape 763" descr="Teamlogo">
          <a:extLst>
            <a:ext uri="{FF2B5EF4-FFF2-40B4-BE49-F238E27FC236}">
              <a16:creationId xmlns:a16="http://schemas.microsoft.com/office/drawing/2014/main" id="{2CBEF3C0-3CD1-4BCD-AC10-A7EF4C9983D8}"/>
            </a:ext>
          </a:extLst>
        </xdr:cNvPr>
        <xdr:cNvSpPr>
          <a:spLocks noChangeAspect="1" noChangeArrowheads="1"/>
        </xdr:cNvSpPr>
      </xdr:nvSpPr>
      <xdr:spPr bwMode="auto">
        <a:xfrm>
          <a:off x="0" y="26555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68</xdr:row>
      <xdr:rowOff>0</xdr:rowOff>
    </xdr:from>
    <xdr:ext cx="190500" cy="190500"/>
    <xdr:sp macro="" textlink="">
      <xdr:nvSpPr>
        <xdr:cNvPr id="47" name="AutoShape 764" descr="Teamlogo">
          <a:extLst>
            <a:ext uri="{FF2B5EF4-FFF2-40B4-BE49-F238E27FC236}">
              <a16:creationId xmlns:a16="http://schemas.microsoft.com/office/drawing/2014/main" id="{321C7237-5FE6-40C1-885B-0115D291574B}"/>
            </a:ext>
          </a:extLst>
        </xdr:cNvPr>
        <xdr:cNvSpPr>
          <a:spLocks noChangeAspect="1" noChangeArrowheads="1"/>
        </xdr:cNvSpPr>
      </xdr:nvSpPr>
      <xdr:spPr bwMode="auto">
        <a:xfrm>
          <a:off x="0" y="2712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</xdr:col>
      <xdr:colOff>539749</xdr:colOff>
      <xdr:row>3</xdr:row>
      <xdr:rowOff>172357</xdr:rowOff>
    </xdr:from>
    <xdr:to>
      <xdr:col>18</xdr:col>
      <xdr:colOff>598715</xdr:colOff>
      <xdr:row>47</xdr:row>
      <xdr:rowOff>149678</xdr:rowOff>
    </xdr:to>
    <xdr:graphicFrame macro="">
      <xdr:nvGraphicFramePr>
        <xdr:cNvPr id="48" name="Diagramm 47">
          <a:extLst>
            <a:ext uri="{FF2B5EF4-FFF2-40B4-BE49-F238E27FC236}">
              <a16:creationId xmlns:a16="http://schemas.microsoft.com/office/drawing/2014/main" id="{6E56D319-C1DE-F31D-9AF9-403787454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45B3-ADE7-4233-8BD2-9FB832EE1474}">
  <dimension ref="A1:R69"/>
  <sheetViews>
    <sheetView tabSelected="1" zoomScale="60" zoomScaleNormal="60" workbookViewId="0">
      <selection activeCell="X41" sqref="X41"/>
    </sheetView>
  </sheetViews>
  <sheetFormatPr baseColWidth="10" defaultRowHeight="14.25" x14ac:dyDescent="0.2"/>
  <cols>
    <col min="1" max="1" width="26.42578125" style="1" customWidth="1"/>
    <col min="2" max="2" width="11.42578125" style="1"/>
    <col min="3" max="3" width="11.42578125" style="1" hidden="1" customWidth="1"/>
    <col min="4" max="4" width="27.85546875" style="1" bestFit="1" customWidth="1"/>
    <col min="5" max="5" width="11.42578125" style="1"/>
    <col min="6" max="6" width="11.42578125" style="1" hidden="1" customWidth="1"/>
    <col min="7" max="7" width="27.85546875" style="1" bestFit="1" customWidth="1"/>
    <col min="8" max="8" width="11.42578125" style="1"/>
    <col min="9" max="9" width="11.42578125" style="1" hidden="1" customWidth="1"/>
    <col min="10" max="10" width="27.85546875" style="1" bestFit="1" customWidth="1"/>
    <col min="11" max="11" width="11.42578125" style="1"/>
    <col min="12" max="12" width="11.42578125" style="1" hidden="1" customWidth="1"/>
    <col min="13" max="13" width="27.85546875" style="1" bestFit="1" customWidth="1"/>
    <col min="14" max="14" width="11.42578125" style="1"/>
    <col min="15" max="15" width="11.42578125" style="1" hidden="1" customWidth="1"/>
    <col min="16" max="16" width="27.85546875" style="1" bestFit="1" customWidth="1"/>
    <col min="17" max="16384" width="11.42578125" style="1"/>
  </cols>
  <sheetData>
    <row r="1" spans="1:18" ht="15" customHeight="1" x14ac:dyDescent="0.25">
      <c r="A1" s="5" t="s">
        <v>48</v>
      </c>
      <c r="B1" s="6" t="s">
        <v>49</v>
      </c>
      <c r="C1" s="6"/>
      <c r="D1" s="6"/>
      <c r="E1" s="6" t="s">
        <v>52</v>
      </c>
      <c r="F1" s="6"/>
      <c r="G1" s="6"/>
      <c r="H1" s="6" t="s">
        <v>52</v>
      </c>
      <c r="I1" s="6"/>
      <c r="J1" s="6"/>
      <c r="K1" s="6" t="s">
        <v>53</v>
      </c>
      <c r="L1" s="6"/>
      <c r="M1" s="6"/>
      <c r="N1" s="6" t="s">
        <v>54</v>
      </c>
      <c r="O1" s="6"/>
      <c r="P1" s="6"/>
      <c r="R1" s="5" t="s">
        <v>55</v>
      </c>
    </row>
    <row r="2" spans="1:18" ht="15" customHeight="1" x14ac:dyDescent="0.25">
      <c r="B2" s="5" t="s">
        <v>50</v>
      </c>
      <c r="C2" s="5"/>
      <c r="D2" s="5" t="s">
        <v>51</v>
      </c>
      <c r="E2" s="5" t="s">
        <v>50</v>
      </c>
      <c r="F2" s="5"/>
      <c r="G2" s="5" t="s">
        <v>51</v>
      </c>
      <c r="H2" s="5" t="s">
        <v>50</v>
      </c>
      <c r="I2" s="5"/>
      <c r="J2" s="5" t="s">
        <v>51</v>
      </c>
      <c r="K2" s="5" t="s">
        <v>50</v>
      </c>
      <c r="L2" s="5"/>
      <c r="M2" s="5" t="s">
        <v>51</v>
      </c>
      <c r="N2" s="5" t="s">
        <v>50</v>
      </c>
      <c r="O2" s="5"/>
      <c r="P2" s="5" t="s">
        <v>51</v>
      </c>
    </row>
    <row r="3" spans="1:18" ht="15" customHeight="1" x14ac:dyDescent="0.2">
      <c r="A3" s="2" t="s">
        <v>47</v>
      </c>
      <c r="B3" s="1">
        <v>6</v>
      </c>
      <c r="C3" s="3">
        <f>1/B3</f>
        <v>0.16666666666666666</v>
      </c>
      <c r="D3" s="3">
        <f>C3*(1/$C$53)</f>
        <v>0.13914251108502018</v>
      </c>
      <c r="E3" s="1">
        <v>6</v>
      </c>
      <c r="F3" s="3">
        <f>1/E3</f>
        <v>0.16666666666666666</v>
      </c>
      <c r="G3" s="3">
        <f>F3*(1/$C$53)</f>
        <v>0.13914251108502018</v>
      </c>
      <c r="H3" s="1">
        <v>5.5</v>
      </c>
      <c r="I3" s="3">
        <f>1/H3</f>
        <v>0.18181818181818182</v>
      </c>
      <c r="J3" s="3">
        <f>I3*(1/$C$53)</f>
        <v>0.15179183027456747</v>
      </c>
      <c r="K3" s="1">
        <v>5.75</v>
      </c>
      <c r="L3" s="3">
        <f>1/K3</f>
        <v>0.17391304347826086</v>
      </c>
      <c r="M3" s="3">
        <f>L3*(1/$C$53)</f>
        <v>0.14519218548002105</v>
      </c>
      <c r="N3" s="1">
        <v>5.5</v>
      </c>
      <c r="O3" s="3">
        <f>1/N3</f>
        <v>0.18181818181818182</v>
      </c>
      <c r="P3" s="3">
        <f>O3*(1/$C$53)</f>
        <v>0.15179183027456747</v>
      </c>
      <c r="R3" s="3">
        <f>AVERAGE(D3,G3,J3,M3,P3)</f>
        <v>0.14541217363983924</v>
      </c>
    </row>
    <row r="4" spans="1:18" ht="15" customHeight="1" x14ac:dyDescent="0.2">
      <c r="A4" s="2" t="s">
        <v>0</v>
      </c>
      <c r="B4" s="1">
        <v>6</v>
      </c>
      <c r="C4" s="3">
        <f t="shared" ref="C4:C50" si="0">1/B4</f>
        <v>0.16666666666666666</v>
      </c>
      <c r="D4" s="3">
        <f t="shared" ref="D4:D50" si="1">C4*(1/$C$53)</f>
        <v>0.13914251108502018</v>
      </c>
      <c r="E4" s="1">
        <v>5.5</v>
      </c>
      <c r="F4" s="3">
        <f t="shared" ref="F4:F50" si="2">1/E4</f>
        <v>0.18181818181818182</v>
      </c>
      <c r="G4" s="3">
        <f t="shared" ref="G4:G50" si="3">F4*(1/$C$53)</f>
        <v>0.15179183027456747</v>
      </c>
      <c r="H4" s="1">
        <v>6.5</v>
      </c>
      <c r="I4" s="3">
        <f t="shared" ref="I4:I50" si="4">1/H4</f>
        <v>0.15384615384615385</v>
      </c>
      <c r="J4" s="3">
        <f t="shared" ref="J4:J50" si="5">I4*(1/$C$53)</f>
        <v>0.1284392410015571</v>
      </c>
      <c r="K4" s="1">
        <v>6.25</v>
      </c>
      <c r="L4" s="3">
        <f t="shared" ref="L4:L50" si="6">1/K4</f>
        <v>0.16</v>
      </c>
      <c r="M4" s="3">
        <f t="shared" ref="M4:M50" si="7">L4*(1/$C$53)</f>
        <v>0.13357681064161939</v>
      </c>
      <c r="N4" s="1">
        <v>6.5</v>
      </c>
      <c r="O4" s="3">
        <f t="shared" ref="O4:O50" si="8">1/N4</f>
        <v>0.15384615384615385</v>
      </c>
      <c r="P4" s="3">
        <f t="shared" ref="P4:P50" si="9">O4*(1/$C$53)</f>
        <v>0.1284392410015571</v>
      </c>
      <c r="R4" s="3">
        <f t="shared" ref="R4:R50" si="10">AVERAGE(D4,G4,J4,M4,P4)</f>
        <v>0.13627792680086426</v>
      </c>
    </row>
    <row r="5" spans="1:18" ht="15" customHeight="1" x14ac:dyDescent="0.2">
      <c r="A5" s="2" t="s">
        <v>1</v>
      </c>
      <c r="B5" s="1">
        <v>7</v>
      </c>
      <c r="C5" s="3">
        <f t="shared" si="0"/>
        <v>0.14285714285714285</v>
      </c>
      <c r="D5" s="3">
        <f t="shared" si="1"/>
        <v>0.11926500950144586</v>
      </c>
      <c r="E5" s="1">
        <v>7.5</v>
      </c>
      <c r="F5" s="3">
        <f t="shared" si="2"/>
        <v>0.13333333333333333</v>
      </c>
      <c r="G5" s="3">
        <f t="shared" si="3"/>
        <v>0.11131400886801614</v>
      </c>
      <c r="H5" s="1">
        <v>7</v>
      </c>
      <c r="I5" s="3">
        <f t="shared" si="4"/>
        <v>0.14285714285714285</v>
      </c>
      <c r="J5" s="3">
        <f t="shared" si="5"/>
        <v>0.11926500950144586</v>
      </c>
      <c r="K5" s="1">
        <v>7.5</v>
      </c>
      <c r="L5" s="3">
        <f t="shared" si="6"/>
        <v>0.13333333333333333</v>
      </c>
      <c r="M5" s="3">
        <f t="shared" si="7"/>
        <v>0.11131400886801614</v>
      </c>
      <c r="N5" s="1">
        <v>7</v>
      </c>
      <c r="O5" s="3">
        <f t="shared" si="8"/>
        <v>0.14285714285714285</v>
      </c>
      <c r="P5" s="3">
        <f t="shared" si="9"/>
        <v>0.11926500950144586</v>
      </c>
      <c r="R5" s="3">
        <f t="shared" si="10"/>
        <v>0.11608460924807398</v>
      </c>
    </row>
    <row r="6" spans="1:18" ht="15" customHeight="1" x14ac:dyDescent="0.2">
      <c r="A6" s="2" t="s">
        <v>2</v>
      </c>
      <c r="B6" s="1">
        <v>9</v>
      </c>
      <c r="C6" s="3">
        <f t="shared" si="0"/>
        <v>0.1111111111111111</v>
      </c>
      <c r="D6" s="3">
        <f t="shared" si="1"/>
        <v>9.2761674056680121E-2</v>
      </c>
      <c r="E6" s="1">
        <v>9</v>
      </c>
      <c r="F6" s="3">
        <f t="shared" si="2"/>
        <v>0.1111111111111111</v>
      </c>
      <c r="G6" s="3">
        <f t="shared" si="3"/>
        <v>9.2761674056680121E-2</v>
      </c>
      <c r="H6" s="1">
        <v>9</v>
      </c>
      <c r="I6" s="3">
        <f t="shared" si="4"/>
        <v>0.1111111111111111</v>
      </c>
      <c r="J6" s="3">
        <f t="shared" si="5"/>
        <v>9.2761674056680121E-2</v>
      </c>
      <c r="K6" s="1">
        <v>9.5</v>
      </c>
      <c r="L6" s="3">
        <f t="shared" si="6"/>
        <v>0.10526315789473684</v>
      </c>
      <c r="M6" s="3">
        <f t="shared" si="7"/>
        <v>8.7879480685275901E-2</v>
      </c>
      <c r="N6" s="1">
        <v>9</v>
      </c>
      <c r="O6" s="3">
        <f t="shared" si="8"/>
        <v>0.1111111111111111</v>
      </c>
      <c r="P6" s="3">
        <f t="shared" si="9"/>
        <v>9.2761674056680121E-2</v>
      </c>
      <c r="R6" s="3">
        <f t="shared" si="10"/>
        <v>9.1785235382399272E-2</v>
      </c>
    </row>
    <row r="7" spans="1:18" ht="15" customHeight="1" x14ac:dyDescent="0.2">
      <c r="A7" s="2" t="s">
        <v>3</v>
      </c>
      <c r="B7" s="1">
        <v>9</v>
      </c>
      <c r="C7" s="3">
        <f t="shared" si="0"/>
        <v>0.1111111111111111</v>
      </c>
      <c r="D7" s="3">
        <f t="shared" si="1"/>
        <v>9.2761674056680121E-2</v>
      </c>
      <c r="E7" s="1">
        <v>9</v>
      </c>
      <c r="F7" s="3">
        <f t="shared" si="2"/>
        <v>0.1111111111111111</v>
      </c>
      <c r="G7" s="3">
        <f t="shared" si="3"/>
        <v>9.2761674056680121E-2</v>
      </c>
      <c r="H7" s="1">
        <v>9</v>
      </c>
      <c r="I7" s="3">
        <f t="shared" si="4"/>
        <v>0.1111111111111111</v>
      </c>
      <c r="J7" s="3">
        <f t="shared" si="5"/>
        <v>9.2761674056680121E-2</v>
      </c>
      <c r="K7" s="1">
        <v>9.5</v>
      </c>
      <c r="L7" s="3">
        <f t="shared" si="6"/>
        <v>0.10526315789473684</v>
      </c>
      <c r="M7" s="3">
        <f t="shared" si="7"/>
        <v>8.7879480685275901E-2</v>
      </c>
      <c r="N7" s="1">
        <v>9</v>
      </c>
      <c r="O7" s="3">
        <f t="shared" si="8"/>
        <v>0.1111111111111111</v>
      </c>
      <c r="P7" s="3">
        <f t="shared" si="9"/>
        <v>9.2761674056680121E-2</v>
      </c>
      <c r="R7" s="3">
        <f t="shared" si="10"/>
        <v>9.1785235382399272E-2</v>
      </c>
    </row>
    <row r="8" spans="1:18" ht="15" customHeight="1" x14ac:dyDescent="0.2">
      <c r="A8" s="2" t="s">
        <v>4</v>
      </c>
      <c r="B8" s="1">
        <v>12</v>
      </c>
      <c r="C8" s="3">
        <f t="shared" si="0"/>
        <v>8.3333333333333329E-2</v>
      </c>
      <c r="D8" s="3">
        <f t="shared" si="1"/>
        <v>6.9571255542510091E-2</v>
      </c>
      <c r="E8" s="1">
        <v>11</v>
      </c>
      <c r="F8" s="3">
        <f t="shared" si="2"/>
        <v>9.0909090909090912E-2</v>
      </c>
      <c r="G8" s="3">
        <f t="shared" si="3"/>
        <v>7.5895915137283734E-2</v>
      </c>
      <c r="H8" s="1">
        <v>12</v>
      </c>
      <c r="I8" s="3">
        <f t="shared" si="4"/>
        <v>8.3333333333333329E-2</v>
      </c>
      <c r="J8" s="3">
        <f t="shared" si="5"/>
        <v>6.9571255542510091E-2</v>
      </c>
      <c r="K8" s="1">
        <v>12</v>
      </c>
      <c r="L8" s="3">
        <f t="shared" si="6"/>
        <v>8.3333333333333329E-2</v>
      </c>
      <c r="M8" s="3">
        <f t="shared" si="7"/>
        <v>6.9571255542510091E-2</v>
      </c>
      <c r="N8" s="1">
        <v>13</v>
      </c>
      <c r="O8" s="3">
        <f t="shared" si="8"/>
        <v>7.6923076923076927E-2</v>
      </c>
      <c r="P8" s="3">
        <f t="shared" si="9"/>
        <v>6.4219620500778549E-2</v>
      </c>
      <c r="R8" s="3">
        <f t="shared" si="10"/>
        <v>6.9765860453118514E-2</v>
      </c>
    </row>
    <row r="9" spans="1:18" ht="15" customHeight="1" x14ac:dyDescent="0.2">
      <c r="A9" s="2" t="s">
        <v>5</v>
      </c>
      <c r="B9" s="1">
        <v>15</v>
      </c>
      <c r="C9" s="3">
        <f t="shared" si="0"/>
        <v>6.6666666666666666E-2</v>
      </c>
      <c r="D9" s="3">
        <f t="shared" si="1"/>
        <v>5.5657004434008069E-2</v>
      </c>
      <c r="E9" s="1">
        <v>15</v>
      </c>
      <c r="F9" s="3">
        <f t="shared" si="2"/>
        <v>6.6666666666666666E-2</v>
      </c>
      <c r="G9" s="3">
        <f t="shared" si="3"/>
        <v>5.5657004434008069E-2</v>
      </c>
      <c r="H9" s="1">
        <v>13</v>
      </c>
      <c r="I9" s="3">
        <f t="shared" si="4"/>
        <v>7.6923076923076927E-2</v>
      </c>
      <c r="J9" s="3">
        <f t="shared" si="5"/>
        <v>6.4219620500778549E-2</v>
      </c>
      <c r="K9" s="1">
        <v>15</v>
      </c>
      <c r="L9" s="3">
        <f t="shared" si="6"/>
        <v>6.6666666666666666E-2</v>
      </c>
      <c r="M9" s="3">
        <f t="shared" si="7"/>
        <v>5.5657004434008069E-2</v>
      </c>
      <c r="N9" s="1">
        <v>13</v>
      </c>
      <c r="O9" s="3">
        <f t="shared" si="8"/>
        <v>7.6923076923076927E-2</v>
      </c>
      <c r="P9" s="3">
        <f t="shared" si="9"/>
        <v>6.4219620500778549E-2</v>
      </c>
      <c r="R9" s="3">
        <f t="shared" si="10"/>
        <v>5.9082050860716259E-2</v>
      </c>
    </row>
    <row r="10" spans="1:18" ht="15" customHeight="1" x14ac:dyDescent="0.2">
      <c r="A10" s="2" t="s">
        <v>6</v>
      </c>
      <c r="B10" s="1">
        <v>20</v>
      </c>
      <c r="C10" s="3">
        <f t="shared" si="0"/>
        <v>0.05</v>
      </c>
      <c r="D10" s="3">
        <f t="shared" si="1"/>
        <v>4.174275332550606E-2</v>
      </c>
      <c r="E10" s="1">
        <v>21</v>
      </c>
      <c r="F10" s="3">
        <f t="shared" si="2"/>
        <v>4.7619047619047616E-2</v>
      </c>
      <c r="G10" s="3">
        <f t="shared" si="3"/>
        <v>3.9755003167148618E-2</v>
      </c>
      <c r="H10" s="1">
        <v>21</v>
      </c>
      <c r="I10" s="3">
        <f t="shared" si="4"/>
        <v>4.7619047619047616E-2</v>
      </c>
      <c r="J10" s="3">
        <f t="shared" si="5"/>
        <v>3.9755003167148618E-2</v>
      </c>
      <c r="K10" s="1">
        <v>20</v>
      </c>
      <c r="L10" s="3">
        <f t="shared" si="6"/>
        <v>0.05</v>
      </c>
      <c r="M10" s="3">
        <f t="shared" si="7"/>
        <v>4.174275332550606E-2</v>
      </c>
      <c r="N10" s="1">
        <v>20</v>
      </c>
      <c r="O10" s="3">
        <f t="shared" si="8"/>
        <v>0.05</v>
      </c>
      <c r="P10" s="3">
        <f t="shared" si="9"/>
        <v>4.174275332550606E-2</v>
      </c>
      <c r="R10" s="3">
        <f t="shared" si="10"/>
        <v>4.0947653262163083E-2</v>
      </c>
    </row>
    <row r="11" spans="1:18" ht="15" customHeight="1" x14ac:dyDescent="0.2">
      <c r="A11" s="2" t="s">
        <v>7</v>
      </c>
      <c r="B11" s="1">
        <v>30</v>
      </c>
      <c r="C11" s="3">
        <f t="shared" si="0"/>
        <v>3.3333333333333333E-2</v>
      </c>
      <c r="D11" s="3">
        <f t="shared" si="1"/>
        <v>2.7828502217004034E-2</v>
      </c>
      <c r="E11" s="1">
        <v>26</v>
      </c>
      <c r="F11" s="3">
        <f t="shared" si="2"/>
        <v>3.8461538461538464E-2</v>
      </c>
      <c r="G11" s="3">
        <f t="shared" si="3"/>
        <v>3.2109810250389274E-2</v>
      </c>
      <c r="H11" s="1">
        <v>26</v>
      </c>
      <c r="I11" s="3">
        <f t="shared" si="4"/>
        <v>3.8461538461538464E-2</v>
      </c>
      <c r="J11" s="3">
        <f t="shared" si="5"/>
        <v>3.2109810250389274E-2</v>
      </c>
      <c r="K11" s="1">
        <v>28</v>
      </c>
      <c r="L11" s="3">
        <f t="shared" si="6"/>
        <v>3.5714285714285712E-2</v>
      </c>
      <c r="M11" s="3">
        <f t="shared" si="7"/>
        <v>2.9816252375361466E-2</v>
      </c>
      <c r="N11" s="1">
        <v>25</v>
      </c>
      <c r="O11" s="3">
        <f t="shared" si="8"/>
        <v>0.04</v>
      </c>
      <c r="P11" s="3">
        <f t="shared" si="9"/>
        <v>3.3394202660404847E-2</v>
      </c>
      <c r="R11" s="3">
        <f t="shared" si="10"/>
        <v>3.105171555070978E-2</v>
      </c>
    </row>
    <row r="12" spans="1:18" ht="15" customHeight="1" x14ac:dyDescent="0.2">
      <c r="A12" s="2" t="s">
        <v>8</v>
      </c>
      <c r="B12" s="1">
        <v>40</v>
      </c>
      <c r="C12" s="3">
        <f t="shared" si="0"/>
        <v>2.5000000000000001E-2</v>
      </c>
      <c r="D12" s="3">
        <f t="shared" si="1"/>
        <v>2.087137666275303E-2</v>
      </c>
      <c r="E12" s="1">
        <v>34</v>
      </c>
      <c r="F12" s="3">
        <f t="shared" si="2"/>
        <v>2.9411764705882353E-2</v>
      </c>
      <c r="G12" s="3">
        <f t="shared" si="3"/>
        <v>2.4554560779709442E-2</v>
      </c>
      <c r="H12" s="1">
        <v>34</v>
      </c>
      <c r="I12" s="3">
        <f t="shared" si="4"/>
        <v>2.9411764705882353E-2</v>
      </c>
      <c r="J12" s="3">
        <f t="shared" si="5"/>
        <v>2.4554560779709442E-2</v>
      </c>
      <c r="K12" s="1">
        <v>35</v>
      </c>
      <c r="L12" s="3">
        <f t="shared" si="6"/>
        <v>2.8571428571428571E-2</v>
      </c>
      <c r="M12" s="3">
        <f t="shared" si="7"/>
        <v>2.3853001900289172E-2</v>
      </c>
      <c r="N12" s="1">
        <v>35</v>
      </c>
      <c r="O12" s="3">
        <f t="shared" si="8"/>
        <v>2.8571428571428571E-2</v>
      </c>
      <c r="P12" s="3">
        <f t="shared" si="9"/>
        <v>2.3853001900289172E-2</v>
      </c>
      <c r="R12" s="3">
        <f t="shared" si="10"/>
        <v>2.353730040455005E-2</v>
      </c>
    </row>
    <row r="13" spans="1:18" ht="15" customHeight="1" x14ac:dyDescent="0.2">
      <c r="A13" s="2" t="s">
        <v>9</v>
      </c>
      <c r="B13" s="1">
        <v>40</v>
      </c>
      <c r="C13" s="3">
        <f t="shared" si="0"/>
        <v>2.5000000000000001E-2</v>
      </c>
      <c r="D13" s="3">
        <f t="shared" si="1"/>
        <v>2.087137666275303E-2</v>
      </c>
      <c r="E13" s="1">
        <v>41</v>
      </c>
      <c r="F13" s="3">
        <f t="shared" si="2"/>
        <v>2.4390243902439025E-2</v>
      </c>
      <c r="G13" s="3">
        <f t="shared" si="3"/>
        <v>2.0362318695368808E-2</v>
      </c>
      <c r="H13" s="1">
        <v>34</v>
      </c>
      <c r="I13" s="3">
        <f t="shared" si="4"/>
        <v>2.9411764705882353E-2</v>
      </c>
      <c r="J13" s="3">
        <f t="shared" si="5"/>
        <v>2.4554560779709442E-2</v>
      </c>
      <c r="K13" s="1">
        <v>40</v>
      </c>
      <c r="L13" s="3">
        <f t="shared" si="6"/>
        <v>2.5000000000000001E-2</v>
      </c>
      <c r="M13" s="3">
        <f t="shared" si="7"/>
        <v>2.087137666275303E-2</v>
      </c>
      <c r="N13" s="1">
        <v>50</v>
      </c>
      <c r="O13" s="3">
        <f t="shared" si="8"/>
        <v>0.02</v>
      </c>
      <c r="P13" s="3">
        <f t="shared" si="9"/>
        <v>1.6697101330202423E-2</v>
      </c>
      <c r="R13" s="3">
        <f t="shared" si="10"/>
        <v>2.0671346826157348E-2</v>
      </c>
    </row>
    <row r="14" spans="1:18" ht="15" customHeight="1" x14ac:dyDescent="0.2">
      <c r="A14" s="2" t="s">
        <v>10</v>
      </c>
      <c r="B14" s="1">
        <v>50</v>
      </c>
      <c r="C14" s="3">
        <f t="shared" si="0"/>
        <v>0.02</v>
      </c>
      <c r="D14" s="3">
        <f t="shared" si="1"/>
        <v>1.6697101330202423E-2</v>
      </c>
      <c r="E14" s="1">
        <v>51</v>
      </c>
      <c r="F14" s="3">
        <f t="shared" si="2"/>
        <v>1.9607843137254902E-2</v>
      </c>
      <c r="G14" s="3">
        <f t="shared" si="3"/>
        <v>1.6369707186472963E-2</v>
      </c>
      <c r="H14" s="1">
        <v>51</v>
      </c>
      <c r="I14" s="3">
        <f t="shared" si="4"/>
        <v>1.9607843137254902E-2</v>
      </c>
      <c r="J14" s="3">
        <f t="shared" si="5"/>
        <v>1.6369707186472963E-2</v>
      </c>
      <c r="K14" s="1">
        <v>50</v>
      </c>
      <c r="L14" s="3">
        <f t="shared" si="6"/>
        <v>0.02</v>
      </c>
      <c r="M14" s="3">
        <f t="shared" si="7"/>
        <v>1.6697101330202423E-2</v>
      </c>
      <c r="N14" s="1">
        <v>75</v>
      </c>
      <c r="O14" s="3">
        <f t="shared" si="8"/>
        <v>1.3333333333333334E-2</v>
      </c>
      <c r="P14" s="3">
        <f t="shared" si="9"/>
        <v>1.1131400886801614E-2</v>
      </c>
      <c r="R14" s="3">
        <f t="shared" si="10"/>
        <v>1.5453003584030478E-2</v>
      </c>
    </row>
    <row r="15" spans="1:18" ht="15" customHeight="1" x14ac:dyDescent="0.2">
      <c r="A15" s="2" t="s">
        <v>11</v>
      </c>
      <c r="B15" s="1">
        <v>50</v>
      </c>
      <c r="C15" s="3">
        <f t="shared" si="0"/>
        <v>0.02</v>
      </c>
      <c r="D15" s="3">
        <f t="shared" si="1"/>
        <v>1.6697101330202423E-2</v>
      </c>
      <c r="E15" s="1">
        <v>41</v>
      </c>
      <c r="F15" s="3">
        <f t="shared" si="2"/>
        <v>2.4390243902439025E-2</v>
      </c>
      <c r="G15" s="3">
        <f t="shared" si="3"/>
        <v>2.0362318695368808E-2</v>
      </c>
      <c r="H15" s="1">
        <v>51</v>
      </c>
      <c r="I15" s="3">
        <f t="shared" si="4"/>
        <v>1.9607843137254902E-2</v>
      </c>
      <c r="J15" s="3">
        <f t="shared" si="5"/>
        <v>1.6369707186472963E-2</v>
      </c>
      <c r="K15" s="1">
        <v>50</v>
      </c>
      <c r="L15" s="3">
        <f t="shared" si="6"/>
        <v>0.02</v>
      </c>
      <c r="M15" s="3">
        <f t="shared" si="7"/>
        <v>1.6697101330202423E-2</v>
      </c>
      <c r="N15" s="1">
        <v>50</v>
      </c>
      <c r="O15" s="3">
        <f t="shared" si="8"/>
        <v>0.02</v>
      </c>
      <c r="P15" s="3">
        <f t="shared" si="9"/>
        <v>1.6697101330202423E-2</v>
      </c>
      <c r="R15" s="3">
        <f t="shared" si="10"/>
        <v>1.736466597448981E-2</v>
      </c>
    </row>
    <row r="16" spans="1:18" ht="15" customHeight="1" x14ac:dyDescent="0.2">
      <c r="A16" s="2" t="s">
        <v>12</v>
      </c>
      <c r="B16" s="1">
        <v>60</v>
      </c>
      <c r="C16" s="3">
        <f t="shared" si="0"/>
        <v>1.6666666666666666E-2</v>
      </c>
      <c r="D16" s="3">
        <f t="shared" si="1"/>
        <v>1.3914251108502017E-2</v>
      </c>
      <c r="E16" s="1">
        <v>51</v>
      </c>
      <c r="F16" s="3">
        <f t="shared" si="2"/>
        <v>1.9607843137254902E-2</v>
      </c>
      <c r="G16" s="3">
        <f t="shared" si="3"/>
        <v>1.6369707186472963E-2</v>
      </c>
      <c r="H16" s="1">
        <v>67</v>
      </c>
      <c r="I16" s="3">
        <f t="shared" si="4"/>
        <v>1.4925373134328358E-2</v>
      </c>
      <c r="J16" s="3">
        <f t="shared" si="5"/>
        <v>1.2460523380748077E-2</v>
      </c>
      <c r="K16" s="1">
        <v>70</v>
      </c>
      <c r="L16" s="3">
        <f t="shared" si="6"/>
        <v>1.4285714285714285E-2</v>
      </c>
      <c r="M16" s="3">
        <f t="shared" si="7"/>
        <v>1.1926500950144586E-2</v>
      </c>
      <c r="N16" s="1">
        <v>75</v>
      </c>
      <c r="O16" s="3">
        <f t="shared" si="8"/>
        <v>1.3333333333333334E-2</v>
      </c>
      <c r="P16" s="3">
        <f t="shared" si="9"/>
        <v>1.1131400886801614E-2</v>
      </c>
      <c r="R16" s="3">
        <f t="shared" si="10"/>
        <v>1.3160476702533851E-2</v>
      </c>
    </row>
    <row r="17" spans="1:18" ht="15" customHeight="1" x14ac:dyDescent="0.2">
      <c r="A17" s="2" t="s">
        <v>13</v>
      </c>
      <c r="B17" s="1">
        <v>60</v>
      </c>
      <c r="C17" s="3">
        <f t="shared" si="0"/>
        <v>1.6666666666666666E-2</v>
      </c>
      <c r="D17" s="3">
        <f t="shared" si="1"/>
        <v>1.3914251108502017E-2</v>
      </c>
      <c r="E17" s="1">
        <v>41</v>
      </c>
      <c r="F17" s="3">
        <f t="shared" si="2"/>
        <v>2.4390243902439025E-2</v>
      </c>
      <c r="G17" s="3">
        <f t="shared" si="3"/>
        <v>2.0362318695368808E-2</v>
      </c>
      <c r="H17" s="1">
        <v>67</v>
      </c>
      <c r="I17" s="3">
        <f t="shared" si="4"/>
        <v>1.4925373134328358E-2</v>
      </c>
      <c r="J17" s="3">
        <f t="shared" si="5"/>
        <v>1.2460523380748077E-2</v>
      </c>
      <c r="K17" s="1">
        <v>60</v>
      </c>
      <c r="L17" s="3">
        <f t="shared" si="6"/>
        <v>1.6666666666666666E-2</v>
      </c>
      <c r="M17" s="3">
        <f t="shared" si="7"/>
        <v>1.3914251108502017E-2</v>
      </c>
      <c r="N17" s="1">
        <v>60</v>
      </c>
      <c r="O17" s="3">
        <f t="shared" si="8"/>
        <v>1.6666666666666666E-2</v>
      </c>
      <c r="P17" s="3">
        <f t="shared" si="9"/>
        <v>1.3914251108502017E-2</v>
      </c>
      <c r="R17" s="3">
        <f t="shared" si="10"/>
        <v>1.4913119080324586E-2</v>
      </c>
    </row>
    <row r="18" spans="1:18" ht="15" customHeight="1" x14ac:dyDescent="0.2">
      <c r="A18" s="2" t="s">
        <v>14</v>
      </c>
      <c r="B18" s="1">
        <v>80</v>
      </c>
      <c r="C18" s="3">
        <f t="shared" si="0"/>
        <v>1.2500000000000001E-2</v>
      </c>
      <c r="D18" s="3">
        <f t="shared" si="1"/>
        <v>1.0435688331376515E-2</v>
      </c>
      <c r="E18" s="1">
        <v>67</v>
      </c>
      <c r="F18" s="3">
        <f t="shared" si="2"/>
        <v>1.4925373134328358E-2</v>
      </c>
      <c r="G18" s="3">
        <f t="shared" si="3"/>
        <v>1.2460523380748077E-2</v>
      </c>
      <c r="H18" s="1">
        <v>81</v>
      </c>
      <c r="I18" s="3">
        <f t="shared" si="4"/>
        <v>1.2345679012345678E-2</v>
      </c>
      <c r="J18" s="3">
        <f t="shared" si="5"/>
        <v>1.0306852672964457E-2</v>
      </c>
      <c r="K18" s="1">
        <v>80</v>
      </c>
      <c r="L18" s="3">
        <f t="shared" si="6"/>
        <v>1.2500000000000001E-2</v>
      </c>
      <c r="M18" s="3">
        <f t="shared" si="7"/>
        <v>1.0435688331376515E-2</v>
      </c>
      <c r="N18" s="1">
        <v>75</v>
      </c>
      <c r="O18" s="3">
        <f t="shared" si="8"/>
        <v>1.3333333333333334E-2</v>
      </c>
      <c r="P18" s="3">
        <f t="shared" si="9"/>
        <v>1.1131400886801614E-2</v>
      </c>
      <c r="R18" s="3">
        <f t="shared" si="10"/>
        <v>1.0954030720653435E-2</v>
      </c>
    </row>
    <row r="19" spans="1:18" ht="15" customHeight="1" x14ac:dyDescent="0.2">
      <c r="A19" s="2" t="s">
        <v>15</v>
      </c>
      <c r="B19" s="1">
        <v>80</v>
      </c>
      <c r="C19" s="3">
        <f t="shared" si="0"/>
        <v>1.2500000000000001E-2</v>
      </c>
      <c r="D19" s="3">
        <f t="shared" si="1"/>
        <v>1.0435688331376515E-2</v>
      </c>
      <c r="E19" s="1">
        <v>67</v>
      </c>
      <c r="F19" s="3">
        <f t="shared" si="2"/>
        <v>1.4925373134328358E-2</v>
      </c>
      <c r="G19" s="3">
        <f t="shared" si="3"/>
        <v>1.2460523380748077E-2</v>
      </c>
      <c r="H19" s="1">
        <v>81</v>
      </c>
      <c r="I19" s="3">
        <f t="shared" si="4"/>
        <v>1.2345679012345678E-2</v>
      </c>
      <c r="J19" s="3">
        <f t="shared" si="5"/>
        <v>1.0306852672964457E-2</v>
      </c>
      <c r="K19" s="1">
        <v>80</v>
      </c>
      <c r="L19" s="3">
        <f t="shared" si="6"/>
        <v>1.2500000000000001E-2</v>
      </c>
      <c r="M19" s="3">
        <f t="shared" si="7"/>
        <v>1.0435688331376515E-2</v>
      </c>
      <c r="N19" s="1">
        <v>100</v>
      </c>
      <c r="O19" s="3">
        <f t="shared" si="8"/>
        <v>0.01</v>
      </c>
      <c r="P19" s="3">
        <f t="shared" si="9"/>
        <v>8.3485506651012117E-3</v>
      </c>
      <c r="R19" s="3">
        <f t="shared" si="10"/>
        <v>1.0397460676313355E-2</v>
      </c>
    </row>
    <row r="20" spans="1:18" ht="15" customHeight="1" x14ac:dyDescent="0.2">
      <c r="A20" s="2" t="s">
        <v>16</v>
      </c>
      <c r="B20" s="1">
        <v>80</v>
      </c>
      <c r="C20" s="3">
        <f t="shared" si="0"/>
        <v>1.2500000000000001E-2</v>
      </c>
      <c r="D20" s="3">
        <f t="shared" si="1"/>
        <v>1.0435688331376515E-2</v>
      </c>
      <c r="E20" s="1">
        <v>67</v>
      </c>
      <c r="F20" s="3">
        <f t="shared" si="2"/>
        <v>1.4925373134328358E-2</v>
      </c>
      <c r="G20" s="3">
        <f t="shared" si="3"/>
        <v>1.2460523380748077E-2</v>
      </c>
      <c r="H20" s="1">
        <v>81</v>
      </c>
      <c r="I20" s="3">
        <f t="shared" si="4"/>
        <v>1.2345679012345678E-2</v>
      </c>
      <c r="J20" s="3">
        <f t="shared" si="5"/>
        <v>1.0306852672964457E-2</v>
      </c>
      <c r="K20" s="1">
        <v>80</v>
      </c>
      <c r="L20" s="3">
        <f t="shared" si="6"/>
        <v>1.2500000000000001E-2</v>
      </c>
      <c r="M20" s="3">
        <f t="shared" si="7"/>
        <v>1.0435688331376515E-2</v>
      </c>
      <c r="N20" s="1">
        <v>40</v>
      </c>
      <c r="O20" s="3">
        <f t="shared" si="8"/>
        <v>2.5000000000000001E-2</v>
      </c>
      <c r="P20" s="3">
        <f t="shared" si="9"/>
        <v>2.087137666275303E-2</v>
      </c>
      <c r="R20" s="3">
        <f t="shared" si="10"/>
        <v>1.290202587584372E-2</v>
      </c>
    </row>
    <row r="21" spans="1:18" ht="15" customHeight="1" x14ac:dyDescent="0.2">
      <c r="A21" s="2" t="s">
        <v>17</v>
      </c>
      <c r="B21" s="1">
        <v>80</v>
      </c>
      <c r="C21" s="3">
        <f t="shared" si="0"/>
        <v>1.2500000000000001E-2</v>
      </c>
      <c r="D21" s="3">
        <f t="shared" si="1"/>
        <v>1.0435688331376515E-2</v>
      </c>
      <c r="E21" s="1">
        <v>67</v>
      </c>
      <c r="F21" s="3">
        <f t="shared" si="2"/>
        <v>1.4925373134328358E-2</v>
      </c>
      <c r="G21" s="3">
        <f t="shared" si="3"/>
        <v>1.2460523380748077E-2</v>
      </c>
      <c r="H21" s="1">
        <v>81</v>
      </c>
      <c r="I21" s="3">
        <f t="shared" si="4"/>
        <v>1.2345679012345678E-2</v>
      </c>
      <c r="J21" s="3">
        <f t="shared" si="5"/>
        <v>1.0306852672964457E-2</v>
      </c>
      <c r="K21" s="1">
        <v>80</v>
      </c>
      <c r="L21" s="3">
        <f t="shared" si="6"/>
        <v>1.2500000000000001E-2</v>
      </c>
      <c r="M21" s="3">
        <f t="shared" si="7"/>
        <v>1.0435688331376515E-2</v>
      </c>
      <c r="N21" s="1">
        <v>100</v>
      </c>
      <c r="O21" s="3">
        <f t="shared" si="8"/>
        <v>0.01</v>
      </c>
      <c r="P21" s="3">
        <f t="shared" si="9"/>
        <v>8.3485506651012117E-3</v>
      </c>
      <c r="R21" s="3">
        <f t="shared" si="10"/>
        <v>1.0397460676313355E-2</v>
      </c>
    </row>
    <row r="22" spans="1:18" ht="15" customHeight="1" x14ac:dyDescent="0.2">
      <c r="A22" s="2" t="s">
        <v>18</v>
      </c>
      <c r="B22" s="1">
        <v>100</v>
      </c>
      <c r="C22" s="3">
        <f t="shared" si="0"/>
        <v>0.01</v>
      </c>
      <c r="D22" s="3">
        <f t="shared" si="1"/>
        <v>8.3485506651012117E-3</v>
      </c>
      <c r="E22" s="1">
        <v>67</v>
      </c>
      <c r="F22" s="3">
        <f t="shared" si="2"/>
        <v>1.4925373134328358E-2</v>
      </c>
      <c r="G22" s="3">
        <f t="shared" si="3"/>
        <v>1.2460523380748077E-2</v>
      </c>
      <c r="H22" s="1">
        <v>101</v>
      </c>
      <c r="I22" s="3">
        <f t="shared" si="4"/>
        <v>9.9009900990099011E-3</v>
      </c>
      <c r="J22" s="3">
        <f t="shared" si="5"/>
        <v>8.2658917476249611E-3</v>
      </c>
      <c r="K22" s="1">
        <v>80</v>
      </c>
      <c r="L22" s="3">
        <f t="shared" si="6"/>
        <v>1.2500000000000001E-2</v>
      </c>
      <c r="M22" s="3">
        <f t="shared" si="7"/>
        <v>1.0435688331376515E-2</v>
      </c>
      <c r="N22" s="1">
        <v>100</v>
      </c>
      <c r="O22" s="3">
        <f t="shared" si="8"/>
        <v>0.01</v>
      </c>
      <c r="P22" s="3">
        <f t="shared" si="9"/>
        <v>8.3485506651012117E-3</v>
      </c>
      <c r="R22" s="3">
        <f t="shared" si="10"/>
        <v>9.5718409579903952E-3</v>
      </c>
    </row>
    <row r="23" spans="1:18" ht="15" customHeight="1" x14ac:dyDescent="0.2">
      <c r="A23" s="2" t="s">
        <v>19</v>
      </c>
      <c r="B23" s="1">
        <v>100</v>
      </c>
      <c r="C23" s="3">
        <f t="shared" si="0"/>
        <v>0.01</v>
      </c>
      <c r="D23" s="3">
        <f t="shared" si="1"/>
        <v>8.3485506651012117E-3</v>
      </c>
      <c r="E23" s="1">
        <v>67</v>
      </c>
      <c r="F23" s="3">
        <f t="shared" si="2"/>
        <v>1.4925373134328358E-2</v>
      </c>
      <c r="G23" s="3">
        <f t="shared" si="3"/>
        <v>1.2460523380748077E-2</v>
      </c>
      <c r="H23" s="1">
        <v>126</v>
      </c>
      <c r="I23" s="3">
        <f t="shared" si="4"/>
        <v>7.9365079365079361E-3</v>
      </c>
      <c r="J23" s="3">
        <f t="shared" si="5"/>
        <v>6.625833861191437E-3</v>
      </c>
      <c r="K23" s="1">
        <v>100</v>
      </c>
      <c r="L23" s="3">
        <f t="shared" si="6"/>
        <v>0.01</v>
      </c>
      <c r="M23" s="3">
        <f t="shared" si="7"/>
        <v>8.3485506651012117E-3</v>
      </c>
      <c r="N23" s="1">
        <v>100</v>
      </c>
      <c r="O23" s="3">
        <f t="shared" si="8"/>
        <v>0.01</v>
      </c>
      <c r="P23" s="3">
        <f t="shared" si="9"/>
        <v>8.3485506651012117E-3</v>
      </c>
      <c r="R23" s="3">
        <f t="shared" si="10"/>
        <v>8.8264018474486297E-3</v>
      </c>
    </row>
    <row r="24" spans="1:18" ht="15" customHeight="1" x14ac:dyDescent="0.2">
      <c r="A24" s="2" t="s">
        <v>20</v>
      </c>
      <c r="B24" s="1">
        <v>100</v>
      </c>
      <c r="C24" s="3">
        <f t="shared" si="0"/>
        <v>0.01</v>
      </c>
      <c r="D24" s="3">
        <f t="shared" si="1"/>
        <v>8.3485506651012117E-3</v>
      </c>
      <c r="E24" s="1">
        <v>67</v>
      </c>
      <c r="F24" s="3">
        <f t="shared" si="2"/>
        <v>1.4925373134328358E-2</v>
      </c>
      <c r="G24" s="3">
        <f t="shared" si="3"/>
        <v>1.2460523380748077E-2</v>
      </c>
      <c r="H24" s="1">
        <v>126</v>
      </c>
      <c r="I24" s="3">
        <f t="shared" si="4"/>
        <v>7.9365079365079361E-3</v>
      </c>
      <c r="J24" s="3">
        <f t="shared" si="5"/>
        <v>6.625833861191437E-3</v>
      </c>
      <c r="K24" s="1">
        <v>100</v>
      </c>
      <c r="L24" s="3">
        <f t="shared" si="6"/>
        <v>0.01</v>
      </c>
      <c r="M24" s="3">
        <f t="shared" si="7"/>
        <v>8.3485506651012117E-3</v>
      </c>
      <c r="N24" s="1">
        <v>150</v>
      </c>
      <c r="O24" s="3">
        <f t="shared" si="8"/>
        <v>6.6666666666666671E-3</v>
      </c>
      <c r="P24" s="3">
        <f t="shared" si="9"/>
        <v>5.5657004434008072E-3</v>
      </c>
      <c r="R24" s="3">
        <f t="shared" si="10"/>
        <v>8.2698318031085485E-3</v>
      </c>
    </row>
    <row r="25" spans="1:18" ht="15" customHeight="1" x14ac:dyDescent="0.2">
      <c r="A25" s="2" t="s">
        <v>21</v>
      </c>
      <c r="B25" s="1">
        <v>125</v>
      </c>
      <c r="C25" s="3">
        <f t="shared" si="0"/>
        <v>8.0000000000000002E-3</v>
      </c>
      <c r="D25" s="3">
        <f t="shared" si="1"/>
        <v>6.6788405320809688E-3</v>
      </c>
      <c r="E25" s="1">
        <v>101</v>
      </c>
      <c r="F25" s="3">
        <f t="shared" si="2"/>
        <v>9.9009900990099011E-3</v>
      </c>
      <c r="G25" s="3">
        <f t="shared" si="3"/>
        <v>8.2658917476249611E-3</v>
      </c>
      <c r="H25" s="1">
        <v>151</v>
      </c>
      <c r="I25" s="3">
        <f t="shared" si="4"/>
        <v>6.6225165562913907E-3</v>
      </c>
      <c r="J25" s="3">
        <f t="shared" si="5"/>
        <v>5.5288415000670273E-3</v>
      </c>
      <c r="K25" s="1">
        <v>150</v>
      </c>
      <c r="L25" s="3">
        <f t="shared" si="6"/>
        <v>6.6666666666666671E-3</v>
      </c>
      <c r="M25" s="3">
        <f t="shared" si="7"/>
        <v>5.5657004434008072E-3</v>
      </c>
      <c r="N25" s="1">
        <v>150</v>
      </c>
      <c r="O25" s="3">
        <f t="shared" si="8"/>
        <v>6.6666666666666671E-3</v>
      </c>
      <c r="P25" s="3">
        <f t="shared" si="9"/>
        <v>5.5657004434008072E-3</v>
      </c>
      <c r="R25" s="3">
        <f t="shared" si="10"/>
        <v>6.3209949333149149E-3</v>
      </c>
    </row>
    <row r="26" spans="1:18" ht="15" customHeight="1" x14ac:dyDescent="0.2">
      <c r="A26" s="2" t="s">
        <v>22</v>
      </c>
      <c r="B26" s="1">
        <v>150</v>
      </c>
      <c r="C26" s="3">
        <f t="shared" si="0"/>
        <v>6.6666666666666671E-3</v>
      </c>
      <c r="D26" s="3">
        <f t="shared" si="1"/>
        <v>5.5657004434008072E-3</v>
      </c>
      <c r="E26" s="1">
        <v>151</v>
      </c>
      <c r="F26" s="3">
        <f t="shared" si="2"/>
        <v>6.6225165562913907E-3</v>
      </c>
      <c r="G26" s="3">
        <f t="shared" si="3"/>
        <v>5.5288415000670273E-3</v>
      </c>
      <c r="H26" s="1">
        <v>151</v>
      </c>
      <c r="I26" s="3">
        <f t="shared" si="4"/>
        <v>6.6225165562913907E-3</v>
      </c>
      <c r="J26" s="3">
        <f t="shared" si="5"/>
        <v>5.5288415000670273E-3</v>
      </c>
      <c r="K26" s="1">
        <v>150</v>
      </c>
      <c r="L26" s="3">
        <f t="shared" si="6"/>
        <v>6.6666666666666671E-3</v>
      </c>
      <c r="M26" s="3">
        <f t="shared" si="7"/>
        <v>5.5657004434008072E-3</v>
      </c>
      <c r="N26" s="1">
        <v>150</v>
      </c>
      <c r="O26" s="3">
        <f t="shared" si="8"/>
        <v>6.6666666666666671E-3</v>
      </c>
      <c r="P26" s="3">
        <f t="shared" si="9"/>
        <v>5.5657004434008072E-3</v>
      </c>
      <c r="R26" s="3">
        <f t="shared" si="10"/>
        <v>5.5509568660672953E-3</v>
      </c>
    </row>
    <row r="27" spans="1:18" ht="15" customHeight="1" x14ac:dyDescent="0.2">
      <c r="A27" s="2" t="s">
        <v>23</v>
      </c>
      <c r="B27" s="1">
        <v>150</v>
      </c>
      <c r="C27" s="3">
        <f t="shared" si="0"/>
        <v>6.6666666666666671E-3</v>
      </c>
      <c r="D27" s="3">
        <f t="shared" si="1"/>
        <v>5.5657004434008072E-3</v>
      </c>
      <c r="E27" s="1">
        <v>151</v>
      </c>
      <c r="F27" s="3">
        <f t="shared" si="2"/>
        <v>6.6225165562913907E-3</v>
      </c>
      <c r="G27" s="3">
        <f t="shared" si="3"/>
        <v>5.5288415000670273E-3</v>
      </c>
      <c r="H27" s="1">
        <v>151</v>
      </c>
      <c r="I27" s="3">
        <f t="shared" si="4"/>
        <v>6.6225165562913907E-3</v>
      </c>
      <c r="J27" s="3">
        <f t="shared" si="5"/>
        <v>5.5288415000670273E-3</v>
      </c>
      <c r="K27" s="1">
        <v>150</v>
      </c>
      <c r="L27" s="3">
        <f t="shared" si="6"/>
        <v>6.6666666666666671E-3</v>
      </c>
      <c r="M27" s="3">
        <f t="shared" si="7"/>
        <v>5.5657004434008072E-3</v>
      </c>
      <c r="N27" s="1">
        <v>150</v>
      </c>
      <c r="O27" s="3">
        <f t="shared" si="8"/>
        <v>6.6666666666666671E-3</v>
      </c>
      <c r="P27" s="3">
        <f t="shared" si="9"/>
        <v>5.5657004434008072E-3</v>
      </c>
      <c r="R27" s="3">
        <f t="shared" si="10"/>
        <v>5.5509568660672953E-3</v>
      </c>
    </row>
    <row r="28" spans="1:18" ht="15" customHeight="1" x14ac:dyDescent="0.2">
      <c r="A28" s="2" t="s">
        <v>24</v>
      </c>
      <c r="B28" s="1">
        <v>250</v>
      </c>
      <c r="C28" s="3">
        <f t="shared" si="0"/>
        <v>4.0000000000000001E-3</v>
      </c>
      <c r="D28" s="3">
        <f t="shared" si="1"/>
        <v>3.3394202660404844E-3</v>
      </c>
      <c r="E28" s="1">
        <v>251</v>
      </c>
      <c r="F28" s="3">
        <f t="shared" si="2"/>
        <v>3.9840637450199202E-3</v>
      </c>
      <c r="G28" s="3">
        <f t="shared" si="3"/>
        <v>3.3261158028291674E-3</v>
      </c>
      <c r="H28" s="1">
        <v>251</v>
      </c>
      <c r="I28" s="3">
        <f t="shared" si="4"/>
        <v>3.9840637450199202E-3</v>
      </c>
      <c r="J28" s="3">
        <f t="shared" si="5"/>
        <v>3.3261158028291674E-3</v>
      </c>
      <c r="K28" s="1">
        <v>250</v>
      </c>
      <c r="L28" s="3">
        <f t="shared" si="6"/>
        <v>4.0000000000000001E-3</v>
      </c>
      <c r="M28" s="3">
        <f t="shared" si="7"/>
        <v>3.3394202660404844E-3</v>
      </c>
      <c r="N28" s="1">
        <v>250</v>
      </c>
      <c r="O28" s="3">
        <f t="shared" si="8"/>
        <v>4.0000000000000001E-3</v>
      </c>
      <c r="P28" s="3">
        <f t="shared" si="9"/>
        <v>3.3394202660404844E-3</v>
      </c>
      <c r="R28" s="3">
        <f t="shared" si="10"/>
        <v>3.3340984807559578E-3</v>
      </c>
    </row>
    <row r="29" spans="1:18" ht="15" customHeight="1" x14ac:dyDescent="0.2">
      <c r="A29" s="2" t="s">
        <v>25</v>
      </c>
      <c r="B29" s="1">
        <v>250</v>
      </c>
      <c r="C29" s="3">
        <f t="shared" si="0"/>
        <v>4.0000000000000001E-3</v>
      </c>
      <c r="D29" s="3">
        <f t="shared" si="1"/>
        <v>3.3394202660404844E-3</v>
      </c>
      <c r="E29" s="1">
        <v>251</v>
      </c>
      <c r="F29" s="3">
        <f t="shared" si="2"/>
        <v>3.9840637450199202E-3</v>
      </c>
      <c r="G29" s="3">
        <f t="shared" si="3"/>
        <v>3.3261158028291674E-3</v>
      </c>
      <c r="H29" s="1">
        <v>251</v>
      </c>
      <c r="I29" s="3">
        <f t="shared" si="4"/>
        <v>3.9840637450199202E-3</v>
      </c>
      <c r="J29" s="3">
        <f t="shared" si="5"/>
        <v>3.3261158028291674E-3</v>
      </c>
      <c r="K29" s="1">
        <v>250</v>
      </c>
      <c r="L29" s="3">
        <f t="shared" si="6"/>
        <v>4.0000000000000001E-3</v>
      </c>
      <c r="M29" s="3">
        <f t="shared" si="7"/>
        <v>3.3394202660404844E-3</v>
      </c>
      <c r="N29" s="1">
        <v>250</v>
      </c>
      <c r="O29" s="3">
        <f t="shared" si="8"/>
        <v>4.0000000000000001E-3</v>
      </c>
      <c r="P29" s="3">
        <f t="shared" si="9"/>
        <v>3.3394202660404844E-3</v>
      </c>
      <c r="R29" s="3">
        <f t="shared" si="10"/>
        <v>3.3340984807559578E-3</v>
      </c>
    </row>
    <row r="30" spans="1:18" ht="15" customHeight="1" x14ac:dyDescent="0.2">
      <c r="A30" s="2" t="s">
        <v>26</v>
      </c>
      <c r="B30" s="1">
        <v>250</v>
      </c>
      <c r="C30" s="3">
        <f t="shared" si="0"/>
        <v>4.0000000000000001E-3</v>
      </c>
      <c r="D30" s="3">
        <f t="shared" si="1"/>
        <v>3.3394202660404844E-3</v>
      </c>
      <c r="E30" s="1">
        <v>201</v>
      </c>
      <c r="F30" s="3">
        <f t="shared" si="2"/>
        <v>4.9751243781094526E-3</v>
      </c>
      <c r="G30" s="3">
        <f t="shared" si="3"/>
        <v>4.1535077935826916E-3</v>
      </c>
      <c r="H30" s="1">
        <v>301</v>
      </c>
      <c r="I30" s="3">
        <f t="shared" si="4"/>
        <v>3.3222591362126247E-3</v>
      </c>
      <c r="J30" s="3">
        <f t="shared" si="5"/>
        <v>2.7736048721266481E-3</v>
      </c>
      <c r="K30" s="1">
        <v>250</v>
      </c>
      <c r="L30" s="3">
        <f t="shared" si="6"/>
        <v>4.0000000000000001E-3</v>
      </c>
      <c r="M30" s="3">
        <f t="shared" si="7"/>
        <v>3.3394202660404844E-3</v>
      </c>
      <c r="N30" s="1">
        <v>300</v>
      </c>
      <c r="O30" s="3">
        <f t="shared" si="8"/>
        <v>3.3333333333333335E-3</v>
      </c>
      <c r="P30" s="3">
        <f t="shared" si="9"/>
        <v>2.7828502217004036E-3</v>
      </c>
      <c r="R30" s="3">
        <f t="shared" si="10"/>
        <v>3.2777606838981419E-3</v>
      </c>
    </row>
    <row r="31" spans="1:18" ht="15" customHeight="1" x14ac:dyDescent="0.2">
      <c r="A31" s="2" t="s">
        <v>27</v>
      </c>
      <c r="B31" s="1">
        <v>300</v>
      </c>
      <c r="C31" s="3">
        <f t="shared" si="0"/>
        <v>3.3333333333333335E-3</v>
      </c>
      <c r="D31" s="3">
        <f t="shared" si="1"/>
        <v>2.7828502217004036E-3</v>
      </c>
      <c r="E31" s="1">
        <v>201</v>
      </c>
      <c r="F31" s="3">
        <f t="shared" si="2"/>
        <v>4.9751243781094526E-3</v>
      </c>
      <c r="G31" s="3">
        <f t="shared" si="3"/>
        <v>4.1535077935826916E-3</v>
      </c>
      <c r="H31" s="1">
        <v>301</v>
      </c>
      <c r="I31" s="3">
        <f t="shared" si="4"/>
        <v>3.3222591362126247E-3</v>
      </c>
      <c r="J31" s="3">
        <f t="shared" si="5"/>
        <v>2.7736048721266481E-3</v>
      </c>
      <c r="K31" s="1">
        <v>250</v>
      </c>
      <c r="L31" s="3">
        <f t="shared" si="6"/>
        <v>4.0000000000000001E-3</v>
      </c>
      <c r="M31" s="3">
        <f t="shared" si="7"/>
        <v>3.3394202660404844E-3</v>
      </c>
      <c r="N31" s="1">
        <v>300</v>
      </c>
      <c r="O31" s="3">
        <f t="shared" si="8"/>
        <v>3.3333333333333335E-3</v>
      </c>
      <c r="P31" s="3">
        <f t="shared" si="9"/>
        <v>2.7828502217004036E-3</v>
      </c>
      <c r="R31" s="3">
        <f t="shared" si="10"/>
        <v>3.1664466750301263E-3</v>
      </c>
    </row>
    <row r="32" spans="1:18" ht="15" customHeight="1" x14ac:dyDescent="0.2">
      <c r="A32" s="2" t="s">
        <v>28</v>
      </c>
      <c r="B32" s="1">
        <v>300</v>
      </c>
      <c r="C32" s="3">
        <f t="shared" si="0"/>
        <v>3.3333333333333335E-3</v>
      </c>
      <c r="D32" s="3">
        <f t="shared" si="1"/>
        <v>2.7828502217004036E-3</v>
      </c>
      <c r="E32" s="1">
        <v>251</v>
      </c>
      <c r="F32" s="3">
        <f t="shared" si="2"/>
        <v>3.9840637450199202E-3</v>
      </c>
      <c r="G32" s="3">
        <f t="shared" si="3"/>
        <v>3.3261158028291674E-3</v>
      </c>
      <c r="H32" s="1">
        <v>301</v>
      </c>
      <c r="I32" s="3">
        <f t="shared" si="4"/>
        <v>3.3222591362126247E-3</v>
      </c>
      <c r="J32" s="3">
        <f t="shared" si="5"/>
        <v>2.7736048721266481E-3</v>
      </c>
      <c r="K32" s="1">
        <v>250</v>
      </c>
      <c r="L32" s="3">
        <f t="shared" si="6"/>
        <v>4.0000000000000001E-3</v>
      </c>
      <c r="M32" s="3">
        <f t="shared" si="7"/>
        <v>3.3394202660404844E-3</v>
      </c>
      <c r="N32" s="1">
        <v>300</v>
      </c>
      <c r="O32" s="3">
        <f t="shared" si="8"/>
        <v>3.3333333333333335E-3</v>
      </c>
      <c r="P32" s="3">
        <f t="shared" si="9"/>
        <v>2.7828502217004036E-3</v>
      </c>
      <c r="R32" s="3">
        <f t="shared" si="10"/>
        <v>3.000968276879421E-3</v>
      </c>
    </row>
    <row r="33" spans="1:18" ht="15" customHeight="1" x14ac:dyDescent="0.2">
      <c r="A33" s="2" t="s">
        <v>29</v>
      </c>
      <c r="B33" s="1">
        <v>400</v>
      </c>
      <c r="C33" s="3">
        <f t="shared" si="0"/>
        <v>2.5000000000000001E-3</v>
      </c>
      <c r="D33" s="3">
        <f t="shared" si="1"/>
        <v>2.0871376662753029E-3</v>
      </c>
      <c r="E33" s="1">
        <v>251</v>
      </c>
      <c r="F33" s="3">
        <f t="shared" si="2"/>
        <v>3.9840637450199202E-3</v>
      </c>
      <c r="G33" s="3">
        <f t="shared" si="3"/>
        <v>3.3261158028291674E-3</v>
      </c>
      <c r="H33" s="1">
        <v>401</v>
      </c>
      <c r="I33" s="3">
        <f t="shared" si="4"/>
        <v>2.4937655860349127E-3</v>
      </c>
      <c r="J33" s="3">
        <f t="shared" si="5"/>
        <v>2.0819328341898282E-3</v>
      </c>
      <c r="K33" s="1">
        <v>250</v>
      </c>
      <c r="L33" s="3">
        <f t="shared" si="6"/>
        <v>4.0000000000000001E-3</v>
      </c>
      <c r="M33" s="3">
        <f t="shared" si="7"/>
        <v>3.3394202660404844E-3</v>
      </c>
      <c r="N33" s="1">
        <v>400</v>
      </c>
      <c r="O33" s="3">
        <f t="shared" si="8"/>
        <v>2.5000000000000001E-3</v>
      </c>
      <c r="P33" s="3">
        <f t="shared" si="9"/>
        <v>2.0871376662753029E-3</v>
      </c>
      <c r="R33" s="3">
        <f t="shared" si="10"/>
        <v>2.5843488471220173E-3</v>
      </c>
    </row>
    <row r="34" spans="1:18" ht="15" customHeight="1" x14ac:dyDescent="0.2">
      <c r="A34" s="2" t="s">
        <v>30</v>
      </c>
      <c r="B34" s="1">
        <v>400</v>
      </c>
      <c r="C34" s="3">
        <f t="shared" si="0"/>
        <v>2.5000000000000001E-3</v>
      </c>
      <c r="D34" s="3">
        <f t="shared" si="1"/>
        <v>2.0871376662753029E-3</v>
      </c>
      <c r="E34" s="1">
        <v>251</v>
      </c>
      <c r="F34" s="3">
        <f t="shared" si="2"/>
        <v>3.9840637450199202E-3</v>
      </c>
      <c r="G34" s="3">
        <f t="shared" si="3"/>
        <v>3.3261158028291674E-3</v>
      </c>
      <c r="H34" s="1">
        <v>501</v>
      </c>
      <c r="I34" s="3">
        <f t="shared" si="4"/>
        <v>1.996007984031936E-3</v>
      </c>
      <c r="J34" s="3">
        <f t="shared" si="5"/>
        <v>1.6663773782637145E-3</v>
      </c>
      <c r="K34" s="1">
        <v>250</v>
      </c>
      <c r="L34" s="3">
        <f t="shared" si="6"/>
        <v>4.0000000000000001E-3</v>
      </c>
      <c r="M34" s="3">
        <f t="shared" si="7"/>
        <v>3.3394202660404844E-3</v>
      </c>
      <c r="N34" s="1">
        <v>1000</v>
      </c>
      <c r="O34" s="3">
        <f t="shared" si="8"/>
        <v>1E-3</v>
      </c>
      <c r="P34" s="3">
        <f t="shared" si="9"/>
        <v>8.348550665101211E-4</v>
      </c>
      <c r="R34" s="3">
        <f t="shared" si="10"/>
        <v>2.250781235983758E-3</v>
      </c>
    </row>
    <row r="35" spans="1:18" ht="15" customHeight="1" x14ac:dyDescent="0.2">
      <c r="A35" s="2" t="s">
        <v>31</v>
      </c>
      <c r="B35" s="1">
        <v>400</v>
      </c>
      <c r="C35" s="3">
        <f t="shared" si="0"/>
        <v>2.5000000000000001E-3</v>
      </c>
      <c r="D35" s="3">
        <f t="shared" si="1"/>
        <v>2.0871376662753029E-3</v>
      </c>
      <c r="E35" s="1">
        <v>251</v>
      </c>
      <c r="F35" s="3">
        <f t="shared" si="2"/>
        <v>3.9840637450199202E-3</v>
      </c>
      <c r="G35" s="3">
        <f t="shared" si="3"/>
        <v>3.3261158028291674E-3</v>
      </c>
      <c r="H35" s="1">
        <v>401</v>
      </c>
      <c r="I35" s="3">
        <f t="shared" si="4"/>
        <v>2.4937655860349127E-3</v>
      </c>
      <c r="J35" s="3">
        <f t="shared" si="5"/>
        <v>2.0819328341898282E-3</v>
      </c>
      <c r="K35" s="1">
        <v>250</v>
      </c>
      <c r="L35" s="3">
        <f t="shared" si="6"/>
        <v>4.0000000000000001E-3</v>
      </c>
      <c r="M35" s="3">
        <f t="shared" si="7"/>
        <v>3.3394202660404844E-3</v>
      </c>
      <c r="N35" s="1">
        <v>400</v>
      </c>
      <c r="O35" s="3">
        <f t="shared" si="8"/>
        <v>2.5000000000000001E-3</v>
      </c>
      <c r="P35" s="3">
        <f t="shared" si="9"/>
        <v>2.0871376662753029E-3</v>
      </c>
      <c r="R35" s="3">
        <f t="shared" si="10"/>
        <v>2.5843488471220173E-3</v>
      </c>
    </row>
    <row r="36" spans="1:18" ht="15" customHeight="1" x14ac:dyDescent="0.2">
      <c r="A36" s="2" t="s">
        <v>32</v>
      </c>
      <c r="B36" s="1">
        <v>500</v>
      </c>
      <c r="C36" s="3">
        <f t="shared" si="0"/>
        <v>2E-3</v>
      </c>
      <c r="D36" s="3">
        <f t="shared" si="1"/>
        <v>1.6697101330202422E-3</v>
      </c>
      <c r="E36" s="1">
        <v>501</v>
      </c>
      <c r="F36" s="3">
        <f t="shared" si="2"/>
        <v>1.996007984031936E-3</v>
      </c>
      <c r="G36" s="3">
        <f t="shared" si="3"/>
        <v>1.6663773782637145E-3</v>
      </c>
      <c r="H36" s="1">
        <v>501</v>
      </c>
      <c r="I36" s="3">
        <f t="shared" si="4"/>
        <v>1.996007984031936E-3</v>
      </c>
      <c r="J36" s="3">
        <f t="shared" si="5"/>
        <v>1.6663773782637145E-3</v>
      </c>
      <c r="K36" s="1">
        <v>250</v>
      </c>
      <c r="L36" s="3">
        <f t="shared" si="6"/>
        <v>4.0000000000000001E-3</v>
      </c>
      <c r="M36" s="3">
        <f t="shared" si="7"/>
        <v>3.3394202660404844E-3</v>
      </c>
      <c r="N36" s="1">
        <v>500</v>
      </c>
      <c r="O36" s="3">
        <f t="shared" si="8"/>
        <v>2E-3</v>
      </c>
      <c r="P36" s="3">
        <f t="shared" si="9"/>
        <v>1.6697101330202422E-3</v>
      </c>
      <c r="R36" s="3">
        <f t="shared" si="10"/>
        <v>2.0023190577216797E-3</v>
      </c>
    </row>
    <row r="37" spans="1:18" ht="15" customHeight="1" x14ac:dyDescent="0.2">
      <c r="A37" s="2" t="s">
        <v>33</v>
      </c>
      <c r="B37" s="1">
        <v>500</v>
      </c>
      <c r="C37" s="3">
        <f t="shared" si="0"/>
        <v>2E-3</v>
      </c>
      <c r="D37" s="3">
        <f t="shared" si="1"/>
        <v>1.6697101330202422E-3</v>
      </c>
      <c r="E37" s="1">
        <v>501</v>
      </c>
      <c r="F37" s="3">
        <f t="shared" si="2"/>
        <v>1.996007984031936E-3</v>
      </c>
      <c r="G37" s="3">
        <f t="shared" si="3"/>
        <v>1.6663773782637145E-3</v>
      </c>
      <c r="H37" s="1">
        <v>501</v>
      </c>
      <c r="I37" s="3">
        <f t="shared" si="4"/>
        <v>1.996007984031936E-3</v>
      </c>
      <c r="J37" s="3">
        <f t="shared" si="5"/>
        <v>1.6663773782637145E-3</v>
      </c>
      <c r="K37" s="1">
        <v>250</v>
      </c>
      <c r="L37" s="3">
        <f t="shared" si="6"/>
        <v>4.0000000000000001E-3</v>
      </c>
      <c r="M37" s="3">
        <f t="shared" si="7"/>
        <v>3.3394202660404844E-3</v>
      </c>
      <c r="N37" s="1">
        <v>500</v>
      </c>
      <c r="O37" s="3">
        <f t="shared" si="8"/>
        <v>2E-3</v>
      </c>
      <c r="P37" s="3">
        <f t="shared" si="9"/>
        <v>1.6697101330202422E-3</v>
      </c>
      <c r="R37" s="3">
        <f t="shared" si="10"/>
        <v>2.0023190577216797E-3</v>
      </c>
    </row>
    <row r="38" spans="1:18" ht="15" customHeight="1" x14ac:dyDescent="0.2">
      <c r="A38" s="2" t="s">
        <v>34</v>
      </c>
      <c r="B38" s="1">
        <v>500</v>
      </c>
      <c r="C38" s="3">
        <f t="shared" si="0"/>
        <v>2E-3</v>
      </c>
      <c r="D38" s="3">
        <f t="shared" si="1"/>
        <v>1.6697101330202422E-3</v>
      </c>
      <c r="E38" s="1">
        <v>501</v>
      </c>
      <c r="F38" s="3">
        <f t="shared" si="2"/>
        <v>1.996007984031936E-3</v>
      </c>
      <c r="G38" s="3">
        <f t="shared" si="3"/>
        <v>1.6663773782637145E-3</v>
      </c>
      <c r="H38" s="1">
        <v>501</v>
      </c>
      <c r="I38" s="3">
        <f t="shared" si="4"/>
        <v>1.996007984031936E-3</v>
      </c>
      <c r="J38" s="3">
        <f t="shared" si="5"/>
        <v>1.6663773782637145E-3</v>
      </c>
      <c r="K38" s="1">
        <v>250</v>
      </c>
      <c r="L38" s="3">
        <f t="shared" si="6"/>
        <v>4.0000000000000001E-3</v>
      </c>
      <c r="M38" s="3">
        <f t="shared" si="7"/>
        <v>3.3394202660404844E-3</v>
      </c>
      <c r="N38" s="1">
        <v>500</v>
      </c>
      <c r="O38" s="3">
        <f t="shared" si="8"/>
        <v>2E-3</v>
      </c>
      <c r="P38" s="3">
        <f t="shared" si="9"/>
        <v>1.6697101330202422E-3</v>
      </c>
      <c r="R38" s="3">
        <f t="shared" si="10"/>
        <v>2.0023190577216797E-3</v>
      </c>
    </row>
    <row r="39" spans="1:18" ht="15" customHeight="1" x14ac:dyDescent="0.2">
      <c r="A39" s="2" t="s">
        <v>35</v>
      </c>
      <c r="B39" s="1">
        <v>500</v>
      </c>
      <c r="C39" s="3">
        <f t="shared" si="0"/>
        <v>2E-3</v>
      </c>
      <c r="D39" s="3">
        <f t="shared" si="1"/>
        <v>1.6697101330202422E-3</v>
      </c>
      <c r="E39" s="1">
        <v>751</v>
      </c>
      <c r="F39" s="3">
        <f t="shared" si="2"/>
        <v>1.3315579227696406E-3</v>
      </c>
      <c r="G39" s="3">
        <f t="shared" si="3"/>
        <v>1.111657878175927E-3</v>
      </c>
      <c r="H39" s="1">
        <v>751</v>
      </c>
      <c r="I39" s="3">
        <f t="shared" si="4"/>
        <v>1.3315579227696406E-3</v>
      </c>
      <c r="J39" s="3">
        <f t="shared" si="5"/>
        <v>1.111657878175927E-3</v>
      </c>
      <c r="K39" s="1">
        <v>250</v>
      </c>
      <c r="L39" s="3">
        <f t="shared" si="6"/>
        <v>4.0000000000000001E-3</v>
      </c>
      <c r="M39" s="3">
        <f t="shared" si="7"/>
        <v>3.3394202660404844E-3</v>
      </c>
      <c r="N39" s="1">
        <v>750</v>
      </c>
      <c r="O39" s="3">
        <f t="shared" si="8"/>
        <v>1.3333333333333333E-3</v>
      </c>
      <c r="P39" s="3">
        <f t="shared" si="9"/>
        <v>1.1131400886801614E-3</v>
      </c>
      <c r="R39" s="3">
        <f t="shared" si="10"/>
        <v>1.6691172488185481E-3</v>
      </c>
    </row>
    <row r="40" spans="1:18" ht="15" customHeight="1" x14ac:dyDescent="0.2">
      <c r="A40" s="2" t="s">
        <v>36</v>
      </c>
      <c r="B40" s="1">
        <v>1000</v>
      </c>
      <c r="C40" s="3">
        <f t="shared" si="0"/>
        <v>1E-3</v>
      </c>
      <c r="D40" s="3">
        <f t="shared" si="1"/>
        <v>8.348550665101211E-4</v>
      </c>
      <c r="E40" s="1">
        <v>1001</v>
      </c>
      <c r="F40" s="3">
        <f t="shared" si="2"/>
        <v>9.99000999000999E-4</v>
      </c>
      <c r="G40" s="3">
        <f t="shared" si="3"/>
        <v>8.3402104546465646E-4</v>
      </c>
      <c r="H40" s="1">
        <v>1001</v>
      </c>
      <c r="I40" s="3">
        <f t="shared" si="4"/>
        <v>9.99000999000999E-4</v>
      </c>
      <c r="J40" s="3">
        <f t="shared" si="5"/>
        <v>8.3402104546465646E-4</v>
      </c>
      <c r="K40" s="1">
        <v>250</v>
      </c>
      <c r="L40" s="3">
        <f t="shared" si="6"/>
        <v>4.0000000000000001E-3</v>
      </c>
      <c r="M40" s="3">
        <f t="shared" si="7"/>
        <v>3.3394202660404844E-3</v>
      </c>
      <c r="N40" s="1">
        <v>1000</v>
      </c>
      <c r="O40" s="3">
        <f t="shared" si="8"/>
        <v>1E-3</v>
      </c>
      <c r="P40" s="3">
        <f t="shared" si="9"/>
        <v>8.348550665101211E-4</v>
      </c>
      <c r="R40" s="3">
        <f t="shared" si="10"/>
        <v>1.335434497998008E-3</v>
      </c>
    </row>
    <row r="41" spans="1:18" ht="15" customHeight="1" x14ac:dyDescent="0.2">
      <c r="A41" s="2" t="s">
        <v>37</v>
      </c>
      <c r="B41" s="1">
        <v>1000</v>
      </c>
      <c r="C41" s="3">
        <f t="shared" si="0"/>
        <v>1E-3</v>
      </c>
      <c r="D41" s="3">
        <f t="shared" si="1"/>
        <v>8.348550665101211E-4</v>
      </c>
      <c r="E41" s="1">
        <v>1001</v>
      </c>
      <c r="F41" s="3">
        <f t="shared" si="2"/>
        <v>9.99000999000999E-4</v>
      </c>
      <c r="G41" s="3">
        <f t="shared" si="3"/>
        <v>8.3402104546465646E-4</v>
      </c>
      <c r="H41" s="1">
        <v>1001</v>
      </c>
      <c r="I41" s="3">
        <f t="shared" si="4"/>
        <v>9.99000999000999E-4</v>
      </c>
      <c r="J41" s="3">
        <f t="shared" si="5"/>
        <v>8.3402104546465646E-4</v>
      </c>
      <c r="K41" s="1">
        <v>250</v>
      </c>
      <c r="L41" s="3">
        <f t="shared" si="6"/>
        <v>4.0000000000000001E-3</v>
      </c>
      <c r="M41" s="3">
        <f t="shared" si="7"/>
        <v>3.3394202660404844E-3</v>
      </c>
      <c r="N41" s="1">
        <v>1000</v>
      </c>
      <c r="O41" s="3">
        <f t="shared" si="8"/>
        <v>1E-3</v>
      </c>
      <c r="P41" s="3">
        <f t="shared" si="9"/>
        <v>8.348550665101211E-4</v>
      </c>
      <c r="R41" s="3">
        <f t="shared" si="10"/>
        <v>1.335434497998008E-3</v>
      </c>
    </row>
    <row r="42" spans="1:18" ht="15" customHeight="1" x14ac:dyDescent="0.2">
      <c r="A42" s="2" t="s">
        <v>38</v>
      </c>
      <c r="B42" s="1">
        <v>1000</v>
      </c>
      <c r="C42" s="3">
        <f t="shared" si="0"/>
        <v>1E-3</v>
      </c>
      <c r="D42" s="3">
        <f t="shared" si="1"/>
        <v>8.348550665101211E-4</v>
      </c>
      <c r="E42" s="1">
        <v>1001</v>
      </c>
      <c r="F42" s="3">
        <f t="shared" si="2"/>
        <v>9.99000999000999E-4</v>
      </c>
      <c r="G42" s="3">
        <f t="shared" si="3"/>
        <v>8.3402104546465646E-4</v>
      </c>
      <c r="H42" s="1">
        <v>1001</v>
      </c>
      <c r="I42" s="3">
        <f t="shared" si="4"/>
        <v>9.99000999000999E-4</v>
      </c>
      <c r="J42" s="3">
        <f t="shared" si="5"/>
        <v>8.3402104546465646E-4</v>
      </c>
      <c r="K42" s="1">
        <v>250</v>
      </c>
      <c r="L42" s="3">
        <f t="shared" si="6"/>
        <v>4.0000000000000001E-3</v>
      </c>
      <c r="M42" s="3">
        <f t="shared" si="7"/>
        <v>3.3394202660404844E-3</v>
      </c>
      <c r="N42" s="1">
        <v>1000</v>
      </c>
      <c r="O42" s="3">
        <f t="shared" si="8"/>
        <v>1E-3</v>
      </c>
      <c r="P42" s="3">
        <f t="shared" si="9"/>
        <v>8.348550665101211E-4</v>
      </c>
      <c r="R42" s="3">
        <f t="shared" si="10"/>
        <v>1.335434497998008E-3</v>
      </c>
    </row>
    <row r="43" spans="1:18" ht="15" customHeight="1" x14ac:dyDescent="0.2">
      <c r="A43" s="2" t="s">
        <v>39</v>
      </c>
      <c r="B43" s="1">
        <v>1500</v>
      </c>
      <c r="C43" s="3">
        <f t="shared" si="0"/>
        <v>6.6666666666666664E-4</v>
      </c>
      <c r="D43" s="3">
        <f t="shared" si="1"/>
        <v>5.565700443400807E-4</v>
      </c>
      <c r="E43" s="1">
        <v>1001</v>
      </c>
      <c r="F43" s="3">
        <f t="shared" si="2"/>
        <v>9.99000999000999E-4</v>
      </c>
      <c r="G43" s="3">
        <f t="shared" si="3"/>
        <v>8.3402104546465646E-4</v>
      </c>
      <c r="H43" s="1">
        <v>1501</v>
      </c>
      <c r="I43" s="3">
        <f t="shared" si="4"/>
        <v>6.6622251832111927E-4</v>
      </c>
      <c r="J43" s="3">
        <f t="shared" si="5"/>
        <v>5.5619924484351835E-4</v>
      </c>
      <c r="K43" s="1">
        <v>250</v>
      </c>
      <c r="L43" s="3">
        <f t="shared" si="6"/>
        <v>4.0000000000000001E-3</v>
      </c>
      <c r="M43" s="3">
        <f t="shared" si="7"/>
        <v>3.3394202660404844E-3</v>
      </c>
      <c r="N43" s="1">
        <v>1500</v>
      </c>
      <c r="O43" s="3">
        <f t="shared" si="8"/>
        <v>6.6666666666666664E-4</v>
      </c>
      <c r="P43" s="3">
        <f t="shared" si="9"/>
        <v>5.565700443400807E-4</v>
      </c>
      <c r="R43" s="3">
        <f t="shared" si="10"/>
        <v>1.168556129005764E-3</v>
      </c>
    </row>
    <row r="44" spans="1:18" ht="15" customHeight="1" x14ac:dyDescent="0.2">
      <c r="A44" s="2" t="s">
        <v>40</v>
      </c>
      <c r="B44" s="1">
        <v>1500</v>
      </c>
      <c r="C44" s="3">
        <f t="shared" si="0"/>
        <v>6.6666666666666664E-4</v>
      </c>
      <c r="D44" s="3">
        <f t="shared" si="1"/>
        <v>5.565700443400807E-4</v>
      </c>
      <c r="E44" s="1">
        <v>1001</v>
      </c>
      <c r="F44" s="3">
        <f t="shared" si="2"/>
        <v>9.99000999000999E-4</v>
      </c>
      <c r="G44" s="3">
        <f t="shared" si="3"/>
        <v>8.3402104546465646E-4</v>
      </c>
      <c r="H44" s="1">
        <v>1501</v>
      </c>
      <c r="I44" s="3">
        <f t="shared" si="4"/>
        <v>6.6622251832111927E-4</v>
      </c>
      <c r="J44" s="3">
        <f t="shared" si="5"/>
        <v>5.5619924484351835E-4</v>
      </c>
      <c r="K44" s="1">
        <v>250</v>
      </c>
      <c r="L44" s="3">
        <f t="shared" si="6"/>
        <v>4.0000000000000001E-3</v>
      </c>
      <c r="M44" s="3">
        <f t="shared" si="7"/>
        <v>3.3394202660404844E-3</v>
      </c>
      <c r="N44" s="1">
        <v>1500</v>
      </c>
      <c r="O44" s="3">
        <f t="shared" si="8"/>
        <v>6.6666666666666664E-4</v>
      </c>
      <c r="P44" s="3">
        <f t="shared" si="9"/>
        <v>5.565700443400807E-4</v>
      </c>
      <c r="R44" s="3">
        <f t="shared" si="10"/>
        <v>1.168556129005764E-3</v>
      </c>
    </row>
    <row r="45" spans="1:18" ht="15" customHeight="1" x14ac:dyDescent="0.2">
      <c r="A45" s="2" t="s">
        <v>41</v>
      </c>
      <c r="B45" s="1">
        <v>1500</v>
      </c>
      <c r="C45" s="3">
        <f t="shared" si="0"/>
        <v>6.6666666666666664E-4</v>
      </c>
      <c r="D45" s="3">
        <f t="shared" si="1"/>
        <v>5.565700443400807E-4</v>
      </c>
      <c r="E45" s="1">
        <v>1001</v>
      </c>
      <c r="F45" s="3">
        <f t="shared" si="2"/>
        <v>9.99000999000999E-4</v>
      </c>
      <c r="G45" s="3">
        <f t="shared" si="3"/>
        <v>8.3402104546465646E-4</v>
      </c>
      <c r="H45" s="1">
        <v>1501</v>
      </c>
      <c r="I45" s="3">
        <f t="shared" si="4"/>
        <v>6.6622251832111927E-4</v>
      </c>
      <c r="J45" s="3">
        <f t="shared" si="5"/>
        <v>5.5619924484351835E-4</v>
      </c>
      <c r="K45" s="1">
        <v>250</v>
      </c>
      <c r="L45" s="3">
        <f t="shared" si="6"/>
        <v>4.0000000000000001E-3</v>
      </c>
      <c r="M45" s="3">
        <f t="shared" si="7"/>
        <v>3.3394202660404844E-3</v>
      </c>
      <c r="N45" s="1">
        <v>1500</v>
      </c>
      <c r="O45" s="3">
        <f t="shared" si="8"/>
        <v>6.6666666666666664E-4</v>
      </c>
      <c r="P45" s="3">
        <f t="shared" si="9"/>
        <v>5.565700443400807E-4</v>
      </c>
      <c r="R45" s="3">
        <f t="shared" si="10"/>
        <v>1.168556129005764E-3</v>
      </c>
    </row>
    <row r="46" spans="1:18" ht="15" customHeight="1" x14ac:dyDescent="0.2">
      <c r="A46" s="2" t="s">
        <v>42</v>
      </c>
      <c r="B46" s="1">
        <v>2000</v>
      </c>
      <c r="C46" s="3">
        <f t="shared" si="0"/>
        <v>5.0000000000000001E-4</v>
      </c>
      <c r="D46" s="3">
        <f t="shared" si="1"/>
        <v>4.1742753325506055E-4</v>
      </c>
      <c r="E46" s="1">
        <v>1001</v>
      </c>
      <c r="F46" s="3">
        <f t="shared" si="2"/>
        <v>9.99000999000999E-4</v>
      </c>
      <c r="G46" s="3">
        <f t="shared" si="3"/>
        <v>8.3402104546465646E-4</v>
      </c>
      <c r="H46" s="1">
        <v>2001</v>
      </c>
      <c r="I46" s="3">
        <f t="shared" si="4"/>
        <v>4.9975012493753122E-4</v>
      </c>
      <c r="J46" s="3">
        <f t="shared" si="5"/>
        <v>4.1721892379316394E-4</v>
      </c>
      <c r="K46" s="1">
        <v>250</v>
      </c>
      <c r="L46" s="3">
        <f t="shared" si="6"/>
        <v>4.0000000000000001E-3</v>
      </c>
      <c r="M46" s="3">
        <f t="shared" si="7"/>
        <v>3.3394202660404844E-3</v>
      </c>
      <c r="N46" s="1">
        <v>2000</v>
      </c>
      <c r="O46" s="3">
        <f t="shared" si="8"/>
        <v>5.0000000000000001E-4</v>
      </c>
      <c r="P46" s="3">
        <f t="shared" si="9"/>
        <v>4.1742753325506055E-4</v>
      </c>
      <c r="R46" s="3">
        <f t="shared" si="10"/>
        <v>1.0851030603616853E-3</v>
      </c>
    </row>
    <row r="47" spans="1:18" ht="15" customHeight="1" x14ac:dyDescent="0.2">
      <c r="A47" s="2" t="s">
        <v>43</v>
      </c>
      <c r="B47" s="1">
        <v>2000</v>
      </c>
      <c r="C47" s="3">
        <f t="shared" si="0"/>
        <v>5.0000000000000001E-4</v>
      </c>
      <c r="D47" s="3">
        <f t="shared" si="1"/>
        <v>4.1742753325506055E-4</v>
      </c>
      <c r="E47" s="1">
        <v>2501</v>
      </c>
      <c r="F47" s="3">
        <f t="shared" si="2"/>
        <v>3.9984006397441024E-4</v>
      </c>
      <c r="G47" s="3">
        <f t="shared" si="3"/>
        <v>3.3380850320276732E-4</v>
      </c>
      <c r="H47" s="1">
        <v>2001</v>
      </c>
      <c r="I47" s="3">
        <f t="shared" si="4"/>
        <v>4.9975012493753122E-4</v>
      </c>
      <c r="J47" s="3">
        <f t="shared" si="5"/>
        <v>4.1721892379316394E-4</v>
      </c>
      <c r="K47" s="1">
        <v>250</v>
      </c>
      <c r="L47" s="3">
        <f t="shared" si="6"/>
        <v>4.0000000000000001E-3</v>
      </c>
      <c r="M47" s="3">
        <f t="shared" si="7"/>
        <v>3.3394202660404844E-3</v>
      </c>
      <c r="N47" s="1">
        <v>2000</v>
      </c>
      <c r="O47" s="3">
        <f t="shared" si="8"/>
        <v>5.0000000000000001E-4</v>
      </c>
      <c r="P47" s="3">
        <f t="shared" si="9"/>
        <v>4.1742753325506055E-4</v>
      </c>
      <c r="R47" s="3">
        <f t="shared" si="10"/>
        <v>9.8506055190930738E-4</v>
      </c>
    </row>
    <row r="48" spans="1:18" ht="15" customHeight="1" x14ac:dyDescent="0.2">
      <c r="A48" s="2" t="s">
        <v>44</v>
      </c>
      <c r="B48" s="1">
        <v>2000</v>
      </c>
      <c r="C48" s="3">
        <f t="shared" si="0"/>
        <v>5.0000000000000001E-4</v>
      </c>
      <c r="D48" s="3">
        <f t="shared" si="1"/>
        <v>4.1742753325506055E-4</v>
      </c>
      <c r="E48" s="1">
        <v>1001</v>
      </c>
      <c r="F48" s="3">
        <f t="shared" si="2"/>
        <v>9.99000999000999E-4</v>
      </c>
      <c r="G48" s="3">
        <f t="shared" si="3"/>
        <v>8.3402104546465646E-4</v>
      </c>
      <c r="H48" s="1">
        <v>1501</v>
      </c>
      <c r="I48" s="3">
        <f t="shared" si="4"/>
        <v>6.6622251832111927E-4</v>
      </c>
      <c r="J48" s="3">
        <f t="shared" si="5"/>
        <v>5.5619924484351835E-4</v>
      </c>
      <c r="K48" s="1">
        <v>250</v>
      </c>
      <c r="L48" s="3">
        <f t="shared" si="6"/>
        <v>4.0000000000000001E-3</v>
      </c>
      <c r="M48" s="3">
        <f t="shared" si="7"/>
        <v>3.3394202660404844E-3</v>
      </c>
      <c r="N48" s="1">
        <v>2000</v>
      </c>
      <c r="O48" s="3">
        <f t="shared" si="8"/>
        <v>5.0000000000000001E-4</v>
      </c>
      <c r="P48" s="3">
        <f t="shared" si="9"/>
        <v>4.1742753325506055E-4</v>
      </c>
      <c r="R48" s="3">
        <f t="shared" si="10"/>
        <v>1.112899124571756E-3</v>
      </c>
    </row>
    <row r="49" spans="1:18" ht="15" customHeight="1" x14ac:dyDescent="0.2">
      <c r="A49" s="2" t="s">
        <v>45</v>
      </c>
      <c r="B49" s="1">
        <v>2500</v>
      </c>
      <c r="C49" s="3">
        <f t="shared" si="0"/>
        <v>4.0000000000000002E-4</v>
      </c>
      <c r="D49" s="3">
        <f t="shared" si="1"/>
        <v>3.3394202660404844E-4</v>
      </c>
      <c r="E49" s="1">
        <v>1001</v>
      </c>
      <c r="F49" s="3">
        <f t="shared" si="2"/>
        <v>9.99000999000999E-4</v>
      </c>
      <c r="G49" s="3">
        <f t="shared" si="3"/>
        <v>8.3402104546465646E-4</v>
      </c>
      <c r="H49" s="1">
        <v>2501</v>
      </c>
      <c r="I49" s="3">
        <f t="shared" si="4"/>
        <v>3.9984006397441024E-4</v>
      </c>
      <c r="J49" s="3">
        <f t="shared" si="5"/>
        <v>3.3380850320276732E-4</v>
      </c>
      <c r="K49" s="1">
        <v>250</v>
      </c>
      <c r="L49" s="3">
        <f t="shared" si="6"/>
        <v>4.0000000000000001E-3</v>
      </c>
      <c r="M49" s="3">
        <f t="shared" si="7"/>
        <v>3.3394202660404844E-3</v>
      </c>
      <c r="N49" s="1">
        <v>2500</v>
      </c>
      <c r="O49" s="3">
        <f t="shared" si="8"/>
        <v>4.0000000000000002E-4</v>
      </c>
      <c r="P49" s="3">
        <f t="shared" si="9"/>
        <v>3.3394202660404844E-4</v>
      </c>
      <c r="R49" s="3">
        <f t="shared" si="10"/>
        <v>1.0350267735832011E-3</v>
      </c>
    </row>
    <row r="50" spans="1:18" ht="15" customHeight="1" x14ac:dyDescent="0.2">
      <c r="A50" s="2" t="s">
        <v>46</v>
      </c>
      <c r="B50" s="1">
        <v>3000</v>
      </c>
      <c r="C50" s="3">
        <f t="shared" si="0"/>
        <v>3.3333333333333332E-4</v>
      </c>
      <c r="D50" s="3">
        <f t="shared" si="1"/>
        <v>2.7828502217004035E-4</v>
      </c>
      <c r="E50" s="1">
        <v>2501</v>
      </c>
      <c r="F50" s="3">
        <f t="shared" si="2"/>
        <v>3.9984006397441024E-4</v>
      </c>
      <c r="G50" s="3">
        <f t="shared" si="3"/>
        <v>3.3380850320276732E-4</v>
      </c>
      <c r="H50" s="1">
        <v>3001</v>
      </c>
      <c r="I50" s="3">
        <f t="shared" si="4"/>
        <v>3.332222592469177E-4</v>
      </c>
      <c r="J50" s="3">
        <f t="shared" si="5"/>
        <v>2.781922914062383E-4</v>
      </c>
      <c r="K50" s="1">
        <v>250</v>
      </c>
      <c r="L50" s="3">
        <f t="shared" si="6"/>
        <v>4.0000000000000001E-3</v>
      </c>
      <c r="M50" s="3">
        <f t="shared" si="7"/>
        <v>3.3394202660404844E-3</v>
      </c>
      <c r="N50" s="1">
        <v>3000</v>
      </c>
      <c r="O50" s="3">
        <f t="shared" si="8"/>
        <v>3.3333333333333332E-4</v>
      </c>
      <c r="P50" s="3">
        <f t="shared" si="9"/>
        <v>2.7828502217004035E-4</v>
      </c>
      <c r="R50" s="3">
        <f t="shared" si="10"/>
        <v>9.0159822099791418E-4</v>
      </c>
    </row>
    <row r="51" spans="1:18" x14ac:dyDescent="0.2">
      <c r="A51" s="2"/>
    </row>
    <row r="53" spans="1:18" x14ac:dyDescent="0.2">
      <c r="A53" s="4"/>
      <c r="C53" s="3">
        <f>SUM(C3:C50)</f>
        <v>1.1978126984126973</v>
      </c>
      <c r="D53" s="3"/>
      <c r="F53" s="3">
        <f>SUM(F3:F50)</f>
        <v>1.2680834677565112</v>
      </c>
      <c r="G53" s="3"/>
      <c r="I53" s="3">
        <f>SUM(I3:I50)</f>
        <v>1.2096274122989403</v>
      </c>
      <c r="J53" s="3"/>
      <c r="L53" s="3">
        <f>SUM(L3:L50)</f>
        <v>1.2325107878391628</v>
      </c>
      <c r="M53" s="3"/>
      <c r="O53" s="3">
        <f>SUM(O3:O50)</f>
        <v>1.2000612831612822</v>
      </c>
      <c r="P53" s="3"/>
    </row>
    <row r="54" spans="1:18" x14ac:dyDescent="0.2">
      <c r="A54" s="2"/>
    </row>
    <row r="56" spans="1:18" x14ac:dyDescent="0.2">
      <c r="A56" s="4"/>
    </row>
    <row r="57" spans="1:18" x14ac:dyDescent="0.2">
      <c r="A57" s="2"/>
    </row>
    <row r="59" spans="1:18" x14ac:dyDescent="0.2">
      <c r="A59" s="4"/>
    </row>
    <row r="60" spans="1:18" x14ac:dyDescent="0.2">
      <c r="A60" s="2"/>
    </row>
    <row r="62" spans="1:18" x14ac:dyDescent="0.2">
      <c r="A62" s="4"/>
    </row>
    <row r="63" spans="1:18" x14ac:dyDescent="0.2">
      <c r="A63" s="2"/>
    </row>
    <row r="65" spans="1:1" x14ac:dyDescent="0.2">
      <c r="A65" s="4"/>
    </row>
    <row r="66" spans="1:1" x14ac:dyDescent="0.2">
      <c r="A66" s="2"/>
    </row>
    <row r="68" spans="1:1" x14ac:dyDescent="0.2">
      <c r="A68" s="4"/>
    </row>
    <row r="69" spans="1:1" x14ac:dyDescent="0.2">
      <c r="A69" s="2"/>
    </row>
  </sheetData>
  <mergeCells count="5">
    <mergeCell ref="B1:D1"/>
    <mergeCell ref="E1:G1"/>
    <mergeCell ref="H1:J1"/>
    <mergeCell ref="K1:M1"/>
    <mergeCell ref="N1:P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Bachmeier</dc:creator>
  <cp:lastModifiedBy>Marc Bachmeier</cp:lastModifiedBy>
  <dcterms:created xsi:type="dcterms:W3CDTF">2026-04-30T08:22:30Z</dcterms:created>
  <dcterms:modified xsi:type="dcterms:W3CDTF">2026-04-30T14:08:44Z</dcterms:modified>
</cp:coreProperties>
</file>